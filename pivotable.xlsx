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hidePivotFieldList="1" defaultThemeVersion="166925"/>
  <mc:AlternateContent xmlns:mc="http://schemas.openxmlformats.org/markup-compatibility/2006">
    <mc:Choice Requires="x15">
      <x15ac:absPath xmlns:x15ac="http://schemas.microsoft.com/office/spreadsheetml/2010/11/ac" url="C:\Users\Brahim\Documents\excel\تمارين\"/>
    </mc:Choice>
  </mc:AlternateContent>
  <xr:revisionPtr revIDLastSave="0" documentId="13_ncr:1_{F81BC6E0-D030-463D-BE87-4D30A4062C11}" xr6:coauthVersionLast="47" xr6:coauthVersionMax="47" xr10:uidLastSave="{00000000-0000-0000-0000-000000000000}"/>
  <bookViews>
    <workbookView xWindow="-108" yWindow="-108" windowWidth="23256" windowHeight="12456" activeTab="6" xr2:uid="{06643A7D-4D02-48A5-B7C4-7A807463DC22}"/>
  </bookViews>
  <sheets>
    <sheet name="Sheet2" sheetId="16" r:id="rId1"/>
    <sheet name="انشاء" sheetId="6" r:id="rId2"/>
    <sheet name="التعديل" sheetId="1" r:id="rId3"/>
    <sheet name="تجميعات بالتاريخ" sheetId="3" r:id="rId4"/>
    <sheet name="تجميعات أخرى" sheetId="12" r:id="rId5"/>
    <sheet name="مقسم" sheetId="13" r:id="rId6"/>
    <sheet name="PivotChart" sheetId="8" r:id="rId7"/>
  </sheets>
  <definedNames>
    <definedName name="Slicer_البائع">#N/A</definedName>
    <definedName name="Slicer_الزبون">#N/A</definedName>
    <definedName name="Slicer_المنتج">#N/A</definedName>
    <definedName name="Slicer_المنطقة">#N/A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 l="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0" i="6"/>
  <c r="H909" i="6"/>
  <c r="H908" i="6"/>
  <c r="H907" i="6"/>
  <c r="H906" i="6"/>
  <c r="H905" i="6"/>
  <c r="H904" i="6"/>
  <c r="H903" i="6"/>
  <c r="H902" i="6"/>
  <c r="H901" i="6"/>
  <c r="H900" i="6"/>
  <c r="H899" i="6"/>
  <c r="H898" i="6"/>
  <c r="H897" i="6"/>
  <c r="H896" i="6"/>
  <c r="H895" i="6"/>
  <c r="H894" i="6"/>
  <c r="H893" i="6"/>
  <c r="H892" i="6"/>
  <c r="H891" i="6"/>
  <c r="H890" i="6"/>
  <c r="H889" i="6"/>
  <c r="H888" i="6"/>
  <c r="H887" i="6"/>
  <c r="H886" i="6"/>
  <c r="H885" i="6"/>
  <c r="H884" i="6"/>
  <c r="H883" i="6"/>
  <c r="H882" i="6"/>
  <c r="H881" i="6"/>
  <c r="H880" i="6"/>
  <c r="H879" i="6"/>
  <c r="H878" i="6"/>
  <c r="H877" i="6"/>
  <c r="H876" i="6"/>
  <c r="H875" i="6"/>
  <c r="H874" i="6"/>
  <c r="H873" i="6"/>
  <c r="H872" i="6"/>
  <c r="H871" i="6"/>
  <c r="H870" i="6"/>
  <c r="H869" i="6"/>
  <c r="H868" i="6"/>
  <c r="H867" i="6"/>
  <c r="H866" i="6"/>
  <c r="H865" i="6"/>
  <c r="H864" i="6"/>
  <c r="H863" i="6"/>
  <c r="H862" i="6"/>
  <c r="H861" i="6"/>
  <c r="H860" i="6"/>
  <c r="H859" i="6"/>
  <c r="H858" i="6"/>
  <c r="H857" i="6"/>
  <c r="H856" i="6"/>
  <c r="H855" i="6"/>
  <c r="H854" i="6"/>
  <c r="H853" i="6"/>
  <c r="H852" i="6"/>
  <c r="H851" i="6"/>
  <c r="H850" i="6"/>
  <c r="H849" i="6"/>
  <c r="H848" i="6"/>
  <c r="H847" i="6"/>
  <c r="H846" i="6"/>
  <c r="H845" i="6"/>
  <c r="H844" i="6"/>
  <c r="H843" i="6"/>
  <c r="H842" i="6"/>
  <c r="H841" i="6"/>
  <c r="H840" i="6"/>
  <c r="H839" i="6"/>
  <c r="H838" i="6"/>
  <c r="H837" i="6"/>
  <c r="H836" i="6"/>
  <c r="H835" i="6"/>
  <c r="H834" i="6"/>
  <c r="H833" i="6"/>
  <c r="H832" i="6"/>
  <c r="H831" i="6"/>
  <c r="H830" i="6"/>
  <c r="H829" i="6"/>
  <c r="H828" i="6"/>
  <c r="H827" i="6"/>
  <c r="H826" i="6"/>
  <c r="H825" i="6"/>
  <c r="H824" i="6"/>
  <c r="H823" i="6"/>
  <c r="H822" i="6"/>
  <c r="H821" i="6"/>
  <c r="H820" i="6"/>
  <c r="H819" i="6"/>
  <c r="H818" i="6"/>
  <c r="H817" i="6"/>
  <c r="H816" i="6"/>
  <c r="H815" i="6"/>
  <c r="H814" i="6"/>
  <c r="H813" i="6"/>
  <c r="H812" i="6"/>
  <c r="H811" i="6"/>
  <c r="H810" i="6"/>
  <c r="H809" i="6"/>
  <c r="H808" i="6"/>
  <c r="H807" i="6"/>
  <c r="H806" i="6"/>
  <c r="H805" i="6"/>
  <c r="H804" i="6"/>
  <c r="H803" i="6"/>
  <c r="H802" i="6"/>
  <c r="H801" i="6"/>
  <c r="H800" i="6"/>
  <c r="H799" i="6"/>
  <c r="H798" i="6"/>
  <c r="H797" i="6"/>
  <c r="H796" i="6"/>
  <c r="H795" i="6"/>
  <c r="H794" i="6"/>
  <c r="H793" i="6"/>
  <c r="H792" i="6"/>
  <c r="H791" i="6"/>
  <c r="H790" i="6"/>
  <c r="H789" i="6"/>
  <c r="H788" i="6"/>
  <c r="H787" i="6"/>
  <c r="H786" i="6"/>
  <c r="H785" i="6"/>
  <c r="H784" i="6"/>
  <c r="H783" i="6"/>
  <c r="H782" i="6"/>
  <c r="H781" i="6"/>
  <c r="H780" i="6"/>
  <c r="H779" i="6"/>
  <c r="H778" i="6"/>
  <c r="H777" i="6"/>
  <c r="H776" i="6"/>
  <c r="H775" i="6"/>
  <c r="H774" i="6"/>
  <c r="H773" i="6"/>
  <c r="H772" i="6"/>
  <c r="H771" i="6"/>
  <c r="H770" i="6"/>
  <c r="H769" i="6"/>
  <c r="H768" i="6"/>
  <c r="H767" i="6"/>
  <c r="H766" i="6"/>
  <c r="H765" i="6"/>
  <c r="H764" i="6"/>
  <c r="H763" i="6"/>
  <c r="H762" i="6"/>
  <c r="H761" i="6"/>
  <c r="H760" i="6"/>
  <c r="H759" i="6"/>
  <c r="H758" i="6"/>
  <c r="H757" i="6"/>
  <c r="H756" i="6"/>
  <c r="H755" i="6"/>
  <c r="H754" i="6"/>
  <c r="H753" i="6"/>
  <c r="H752" i="6"/>
  <c r="H751" i="6"/>
  <c r="H750" i="6"/>
  <c r="H749" i="6"/>
  <c r="H748" i="6"/>
  <c r="H747" i="6"/>
  <c r="H746" i="6"/>
  <c r="H745" i="6"/>
  <c r="H744" i="6"/>
  <c r="H743" i="6"/>
  <c r="H742" i="6"/>
  <c r="H741" i="6"/>
  <c r="H740" i="6"/>
  <c r="H739" i="6"/>
  <c r="H738" i="6"/>
  <c r="H737" i="6"/>
  <c r="H736" i="6"/>
  <c r="H735" i="6"/>
  <c r="H734" i="6"/>
  <c r="H733" i="6"/>
  <c r="H732" i="6"/>
  <c r="H731" i="6"/>
  <c r="H730" i="6"/>
  <c r="H729" i="6"/>
  <c r="H728" i="6"/>
  <c r="H727" i="6"/>
  <c r="H726" i="6"/>
  <c r="H725" i="6"/>
  <c r="H724" i="6"/>
  <c r="H723" i="6"/>
  <c r="H722" i="6"/>
  <c r="H721" i="6"/>
  <c r="H720" i="6"/>
  <c r="H719" i="6"/>
  <c r="H718" i="6"/>
  <c r="H717" i="6"/>
  <c r="H716" i="6"/>
  <c r="H715" i="6"/>
  <c r="H714" i="6"/>
  <c r="H713" i="6"/>
  <c r="H712" i="6"/>
  <c r="H711" i="6"/>
  <c r="H710" i="6"/>
  <c r="H709" i="6"/>
  <c r="H708" i="6"/>
  <c r="H707" i="6"/>
  <c r="H706" i="6"/>
  <c r="H705" i="6"/>
  <c r="H704" i="6"/>
  <c r="H703" i="6"/>
  <c r="H702" i="6"/>
  <c r="H701" i="6"/>
  <c r="H700" i="6"/>
  <c r="H699" i="6"/>
  <c r="H698" i="6"/>
  <c r="H697" i="6"/>
  <c r="H696" i="6"/>
  <c r="H695" i="6"/>
  <c r="H694" i="6"/>
  <c r="H693" i="6"/>
  <c r="H692" i="6"/>
  <c r="H691" i="6"/>
  <c r="H690" i="6"/>
  <c r="H689" i="6"/>
  <c r="H688" i="6"/>
  <c r="H687" i="6"/>
  <c r="H686" i="6"/>
  <c r="H685" i="6"/>
  <c r="H684" i="6"/>
  <c r="H683" i="6"/>
  <c r="H682" i="6"/>
  <c r="H681" i="6"/>
  <c r="H680" i="6"/>
  <c r="H679" i="6"/>
  <c r="H678" i="6"/>
  <c r="H677" i="6"/>
  <c r="H676" i="6"/>
  <c r="H675" i="6"/>
  <c r="H674" i="6"/>
  <c r="H673" i="6"/>
  <c r="H672" i="6"/>
  <c r="H671" i="6"/>
  <c r="H670" i="6"/>
  <c r="H669" i="6"/>
  <c r="H668" i="6"/>
  <c r="H667" i="6"/>
  <c r="H666" i="6"/>
  <c r="H665" i="6"/>
  <c r="H664" i="6"/>
  <c r="H663" i="6"/>
  <c r="H662" i="6"/>
  <c r="H661" i="6"/>
  <c r="H660" i="6"/>
  <c r="H659" i="6"/>
  <c r="H658" i="6"/>
  <c r="H657" i="6"/>
  <c r="H656" i="6"/>
  <c r="H655" i="6"/>
  <c r="H654" i="6"/>
  <c r="H653" i="6"/>
  <c r="H652" i="6"/>
  <c r="H651" i="6"/>
  <c r="H650" i="6"/>
  <c r="H649" i="6"/>
  <c r="H648" i="6"/>
  <c r="H647" i="6"/>
  <c r="H646" i="6"/>
  <c r="H645" i="6"/>
  <c r="H644" i="6"/>
  <c r="H643" i="6"/>
  <c r="H642" i="6"/>
  <c r="H641" i="6"/>
  <c r="H640" i="6"/>
  <c r="H639" i="6"/>
  <c r="H638" i="6"/>
  <c r="H637" i="6"/>
  <c r="H636" i="6"/>
  <c r="H635" i="6"/>
  <c r="H634" i="6"/>
  <c r="H633" i="6"/>
  <c r="H632" i="6"/>
  <c r="H631" i="6"/>
  <c r="H630" i="6"/>
  <c r="H629" i="6"/>
  <c r="H628" i="6"/>
  <c r="H627" i="6"/>
  <c r="H626" i="6"/>
  <c r="H625" i="6"/>
  <c r="H624" i="6"/>
  <c r="H623" i="6"/>
  <c r="H622" i="6"/>
  <c r="H621" i="6"/>
  <c r="H620" i="6"/>
  <c r="H619" i="6"/>
  <c r="H618" i="6"/>
  <c r="H617" i="6"/>
  <c r="H616" i="6"/>
  <c r="H615" i="6"/>
  <c r="H614" i="6"/>
  <c r="H613" i="6"/>
  <c r="H612" i="6"/>
  <c r="H611" i="6"/>
  <c r="H610" i="6"/>
  <c r="H609" i="6"/>
  <c r="H608" i="6"/>
  <c r="H607" i="6"/>
  <c r="H606" i="6"/>
  <c r="H605" i="6"/>
  <c r="H604" i="6"/>
  <c r="H603" i="6"/>
  <c r="H602" i="6"/>
  <c r="H601" i="6"/>
  <c r="H600" i="6"/>
  <c r="H599" i="6"/>
  <c r="H598" i="6"/>
  <c r="H597" i="6"/>
  <c r="H596" i="6"/>
  <c r="H595" i="6"/>
  <c r="H594" i="6"/>
  <c r="H593" i="6"/>
  <c r="H592" i="6"/>
  <c r="H591" i="6"/>
  <c r="H590" i="6"/>
  <c r="H589" i="6"/>
  <c r="H588" i="6"/>
  <c r="H587" i="6"/>
  <c r="H586" i="6"/>
  <c r="H585" i="6"/>
  <c r="H584" i="6"/>
  <c r="H583" i="6"/>
  <c r="H582" i="6"/>
  <c r="H581" i="6"/>
  <c r="H580" i="6"/>
  <c r="H579" i="6"/>
  <c r="H578" i="6"/>
  <c r="H577" i="6"/>
  <c r="H576" i="6"/>
  <c r="H575" i="6"/>
  <c r="H574" i="6"/>
  <c r="H573" i="6"/>
  <c r="H572" i="6"/>
  <c r="H571" i="6"/>
  <c r="H570" i="6"/>
  <c r="H569" i="6"/>
  <c r="H568" i="6"/>
  <c r="H567" i="6"/>
  <c r="H566" i="6"/>
  <c r="H565" i="6"/>
  <c r="H564" i="6"/>
  <c r="H563" i="6"/>
  <c r="H562" i="6"/>
  <c r="H561" i="6"/>
  <c r="H560" i="6"/>
  <c r="H559" i="6"/>
  <c r="H558" i="6"/>
  <c r="H557" i="6"/>
  <c r="H556" i="6"/>
  <c r="H555" i="6"/>
  <c r="H554" i="6"/>
  <c r="H553" i="6"/>
  <c r="H552" i="6"/>
  <c r="H551" i="6"/>
  <c r="H550" i="6"/>
  <c r="H549" i="6"/>
  <c r="H548" i="6"/>
  <c r="H547" i="6"/>
  <c r="H546" i="6"/>
  <c r="H545" i="6"/>
  <c r="H544" i="6"/>
  <c r="H543" i="6"/>
  <c r="H542" i="6"/>
  <c r="H541" i="6"/>
  <c r="H540" i="6"/>
  <c r="H539" i="6"/>
  <c r="H538" i="6"/>
  <c r="H537" i="6"/>
  <c r="H536" i="6"/>
  <c r="H535" i="6"/>
  <c r="H534" i="6"/>
  <c r="H533" i="6"/>
  <c r="H532" i="6"/>
  <c r="H531" i="6"/>
  <c r="H530" i="6"/>
  <c r="H529" i="6"/>
  <c r="H528" i="6"/>
  <c r="H527" i="6"/>
  <c r="H526" i="6"/>
  <c r="H525" i="6"/>
  <c r="H524" i="6"/>
  <c r="H523" i="6"/>
  <c r="H522" i="6"/>
  <c r="H521" i="6"/>
  <c r="H520" i="6"/>
  <c r="H519" i="6"/>
  <c r="H518" i="6"/>
  <c r="H517" i="6"/>
  <c r="H516" i="6"/>
  <c r="H515" i="6"/>
  <c r="H514" i="6"/>
  <c r="H513" i="6"/>
  <c r="H512" i="6"/>
  <c r="H511" i="6"/>
  <c r="H510" i="6"/>
  <c r="H509" i="6"/>
  <c r="H508" i="6"/>
  <c r="H507" i="6"/>
  <c r="H506" i="6"/>
  <c r="H505" i="6"/>
  <c r="H504" i="6"/>
  <c r="H503" i="6"/>
  <c r="H502" i="6"/>
  <c r="H501" i="6"/>
  <c r="H500" i="6"/>
  <c r="H499" i="6"/>
  <c r="H498" i="6"/>
  <c r="H497" i="6"/>
  <c r="H496" i="6"/>
  <c r="H495" i="6"/>
  <c r="H494" i="6"/>
  <c r="H493" i="6"/>
  <c r="H492" i="6"/>
  <c r="H491" i="6"/>
  <c r="H490" i="6"/>
  <c r="H489" i="6"/>
  <c r="H488" i="6"/>
  <c r="H487" i="6"/>
  <c r="H486" i="6"/>
  <c r="H485" i="6"/>
  <c r="H484" i="6"/>
  <c r="H483" i="6"/>
  <c r="H482" i="6"/>
  <c r="H481" i="6"/>
  <c r="H480" i="6"/>
  <c r="H479" i="6"/>
  <c r="H478" i="6"/>
  <c r="H477" i="6"/>
  <c r="H476" i="6"/>
  <c r="H475" i="6"/>
  <c r="H474" i="6"/>
  <c r="H473" i="6"/>
  <c r="H472" i="6"/>
  <c r="H471" i="6"/>
  <c r="H470" i="6"/>
  <c r="H469" i="6"/>
  <c r="H468" i="6"/>
  <c r="H467" i="6"/>
  <c r="H466" i="6"/>
  <c r="H465" i="6"/>
  <c r="H464" i="6"/>
  <c r="H463" i="6"/>
  <c r="H462" i="6"/>
  <c r="H461" i="6"/>
  <c r="H460" i="6"/>
  <c r="H459" i="6"/>
  <c r="H458" i="6"/>
  <c r="H457" i="6"/>
  <c r="H456" i="6"/>
  <c r="H455" i="6"/>
  <c r="H454" i="6"/>
  <c r="H453" i="6"/>
  <c r="H452" i="6"/>
  <c r="H451" i="6"/>
  <c r="H450" i="6"/>
  <c r="H449" i="6"/>
  <c r="H448" i="6"/>
  <c r="H447" i="6"/>
  <c r="H446" i="6"/>
  <c r="H445" i="6"/>
  <c r="H444" i="6"/>
  <c r="H443" i="6"/>
  <c r="H442" i="6"/>
  <c r="H441" i="6"/>
  <c r="H440" i="6"/>
  <c r="H439" i="6"/>
  <c r="H438" i="6"/>
  <c r="H437" i="6"/>
  <c r="H436" i="6"/>
  <c r="H435" i="6"/>
  <c r="H434" i="6"/>
  <c r="H433" i="6"/>
  <c r="H432" i="6"/>
  <c r="H431" i="6"/>
  <c r="H430" i="6"/>
  <c r="H429" i="6"/>
  <c r="H428" i="6"/>
  <c r="H427" i="6"/>
  <c r="H426" i="6"/>
  <c r="H425" i="6"/>
  <c r="H424" i="6"/>
  <c r="H423" i="6"/>
  <c r="H422" i="6"/>
  <c r="H421" i="6"/>
  <c r="H420" i="6"/>
  <c r="H419" i="6"/>
  <c r="H418" i="6"/>
  <c r="H417" i="6"/>
  <c r="H416" i="6"/>
  <c r="H415" i="6"/>
  <c r="H414" i="6"/>
  <c r="H413" i="6"/>
  <c r="H412" i="6"/>
  <c r="H411" i="6"/>
  <c r="H410" i="6"/>
  <c r="H409" i="6"/>
  <c r="H408" i="6"/>
  <c r="H407" i="6"/>
  <c r="H406" i="6"/>
  <c r="H405" i="6"/>
  <c r="H404" i="6"/>
  <c r="H403" i="6"/>
  <c r="H402" i="6"/>
  <c r="H401" i="6"/>
  <c r="H400" i="6"/>
  <c r="H399" i="6"/>
  <c r="H398" i="6"/>
  <c r="H397" i="6"/>
  <c r="H396" i="6"/>
  <c r="H395" i="6"/>
  <c r="H394" i="6"/>
  <c r="H393" i="6"/>
  <c r="H392" i="6"/>
  <c r="H391" i="6"/>
  <c r="H390" i="6"/>
  <c r="H389" i="6"/>
  <c r="H388" i="6"/>
  <c r="H387" i="6"/>
  <c r="H386" i="6"/>
  <c r="H385" i="6"/>
  <c r="H384" i="6"/>
  <c r="H383" i="6"/>
  <c r="H382" i="6"/>
  <c r="H381" i="6"/>
  <c r="H380" i="6"/>
  <c r="H379" i="6"/>
  <c r="H378" i="6"/>
  <c r="H377" i="6"/>
  <c r="H376" i="6"/>
  <c r="H375" i="6"/>
  <c r="H374" i="6"/>
  <c r="H373" i="6"/>
  <c r="H372" i="6"/>
  <c r="H371" i="6"/>
  <c r="H370" i="6"/>
  <c r="H369" i="6"/>
  <c r="H368" i="6"/>
  <c r="H367" i="6"/>
  <c r="H366" i="6"/>
  <c r="H365" i="6"/>
  <c r="H364" i="6"/>
  <c r="H363" i="6"/>
  <c r="H362" i="6"/>
  <c r="H361" i="6"/>
  <c r="H360" i="6"/>
  <c r="H359" i="6"/>
  <c r="H358" i="6"/>
  <c r="H357" i="6"/>
  <c r="H356" i="6"/>
  <c r="H355" i="6"/>
  <c r="H354" i="6"/>
  <c r="H353" i="6"/>
  <c r="H352" i="6"/>
  <c r="H351" i="6"/>
  <c r="H350" i="6"/>
  <c r="H349" i="6"/>
  <c r="H348" i="6"/>
  <c r="H347" i="6"/>
  <c r="H346" i="6"/>
  <c r="H345" i="6"/>
  <c r="H344" i="6"/>
  <c r="H343" i="6"/>
  <c r="H342" i="6"/>
  <c r="H341" i="6"/>
  <c r="H340" i="6"/>
  <c r="H339" i="6"/>
  <c r="H338" i="6"/>
  <c r="H337" i="6"/>
  <c r="H336" i="6"/>
  <c r="H335" i="6"/>
  <c r="H334" i="6"/>
  <c r="H333" i="6"/>
  <c r="H332" i="6"/>
  <c r="H331" i="6"/>
  <c r="H330" i="6"/>
  <c r="H329" i="6"/>
  <c r="H328" i="6"/>
  <c r="H327" i="6"/>
  <c r="H326" i="6"/>
  <c r="H325" i="6"/>
  <c r="H324" i="6"/>
  <c r="H323" i="6"/>
  <c r="H322" i="6"/>
  <c r="H321" i="6"/>
  <c r="H320" i="6"/>
  <c r="H319" i="6"/>
  <c r="H318" i="6"/>
  <c r="H317" i="6"/>
  <c r="H316" i="6"/>
  <c r="H315" i="6"/>
  <c r="H314" i="6"/>
  <c r="H313" i="6"/>
  <c r="H312" i="6"/>
  <c r="H311" i="6"/>
  <c r="H310" i="6"/>
  <c r="H309" i="6"/>
  <c r="H308" i="6"/>
  <c r="H307" i="6"/>
  <c r="H306" i="6"/>
  <c r="H305" i="6"/>
  <c r="H304" i="6"/>
  <c r="H303" i="6"/>
  <c r="H302" i="6"/>
  <c r="H301" i="6"/>
  <c r="H300" i="6"/>
  <c r="H299" i="6"/>
  <c r="H298" i="6"/>
  <c r="H297" i="6"/>
  <c r="H296" i="6"/>
  <c r="H295" i="6"/>
  <c r="H294" i="6"/>
  <c r="H293" i="6"/>
  <c r="H292" i="6"/>
  <c r="H291" i="6"/>
  <c r="H290" i="6"/>
  <c r="H289" i="6"/>
  <c r="H288" i="6"/>
  <c r="H287" i="6"/>
  <c r="H286" i="6"/>
  <c r="H285" i="6"/>
  <c r="H284" i="6"/>
  <c r="H283" i="6"/>
  <c r="H282" i="6"/>
  <c r="H281" i="6"/>
  <c r="H280" i="6"/>
  <c r="H279" i="6"/>
  <c r="H278" i="6"/>
  <c r="H277" i="6"/>
  <c r="H276" i="6"/>
  <c r="H275" i="6"/>
  <c r="H274" i="6"/>
  <c r="H273" i="6"/>
  <c r="H272" i="6"/>
  <c r="H271" i="6"/>
  <c r="H270" i="6"/>
  <c r="H269" i="6"/>
  <c r="H268" i="6"/>
  <c r="H267" i="6"/>
  <c r="H266" i="6"/>
  <c r="H265" i="6"/>
  <c r="H264" i="6"/>
  <c r="H263" i="6"/>
  <c r="H262" i="6"/>
  <c r="H261" i="6"/>
  <c r="H260" i="6"/>
  <c r="H259" i="6"/>
  <c r="H258" i="6"/>
  <c r="H257" i="6"/>
  <c r="H256" i="6"/>
  <c r="H255" i="6"/>
  <c r="H254" i="6"/>
  <c r="H253" i="6"/>
  <c r="H252" i="6"/>
  <c r="H251" i="6"/>
  <c r="H250" i="6"/>
  <c r="H249" i="6"/>
  <c r="H248" i="6"/>
  <c r="H247" i="6"/>
  <c r="H246" i="6"/>
  <c r="H245" i="6"/>
  <c r="H244" i="6"/>
  <c r="H243" i="6"/>
  <c r="H242" i="6"/>
  <c r="H241" i="6"/>
  <c r="H240" i="6"/>
  <c r="H239" i="6"/>
  <c r="H238" i="6"/>
  <c r="H237" i="6"/>
  <c r="H236" i="6"/>
  <c r="H235" i="6"/>
  <c r="H234" i="6"/>
  <c r="H233" i="6"/>
  <c r="H232" i="6"/>
  <c r="H231" i="6"/>
  <c r="H230" i="6"/>
  <c r="H229" i="6"/>
  <c r="H228" i="6"/>
  <c r="H227" i="6"/>
  <c r="H226" i="6"/>
  <c r="H225" i="6"/>
  <c r="H224" i="6"/>
  <c r="H223" i="6"/>
  <c r="H222" i="6"/>
  <c r="H221" i="6"/>
  <c r="H220" i="6"/>
  <c r="H219" i="6"/>
  <c r="H218" i="6"/>
  <c r="H217" i="6"/>
  <c r="H216" i="6"/>
  <c r="H215" i="6"/>
  <c r="H214" i="6"/>
  <c r="H213" i="6"/>
  <c r="H212" i="6"/>
  <c r="H211" i="6"/>
  <c r="H210" i="6"/>
  <c r="H209" i="6"/>
  <c r="H208" i="6"/>
  <c r="H207" i="6"/>
  <c r="H206" i="6"/>
  <c r="H205" i="6"/>
  <c r="H204" i="6"/>
  <c r="H203" i="6"/>
  <c r="H202" i="6"/>
  <c r="H201" i="6"/>
  <c r="H200" i="6"/>
  <c r="H199" i="6"/>
  <c r="H198" i="6"/>
  <c r="H197" i="6"/>
  <c r="H196" i="6"/>
  <c r="H195" i="6"/>
  <c r="H194" i="6"/>
  <c r="H193" i="6"/>
  <c r="H192" i="6"/>
  <c r="H191" i="6"/>
  <c r="H190" i="6"/>
  <c r="H189" i="6"/>
  <c r="H188" i="6"/>
  <c r="H187" i="6"/>
  <c r="H186" i="6"/>
  <c r="H185" i="6"/>
  <c r="H184" i="6"/>
  <c r="H183" i="6"/>
  <c r="H182" i="6"/>
  <c r="H181" i="6"/>
  <c r="H180" i="6"/>
  <c r="H179" i="6"/>
  <c r="H178" i="6"/>
  <c r="H177" i="6"/>
  <c r="H176" i="6"/>
  <c r="H175" i="6"/>
  <c r="H174" i="6"/>
  <c r="H173" i="6"/>
  <c r="H172" i="6"/>
  <c r="H171" i="6"/>
  <c r="H170" i="6"/>
  <c r="H169" i="6"/>
  <c r="H168" i="6"/>
  <c r="H167" i="6"/>
  <c r="H166" i="6"/>
  <c r="H165" i="6"/>
  <c r="H164" i="6"/>
  <c r="H163" i="6"/>
  <c r="H162" i="6"/>
  <c r="H161" i="6"/>
  <c r="H160" i="6"/>
  <c r="H159" i="6"/>
  <c r="H158" i="6"/>
  <c r="H157" i="6"/>
  <c r="H156" i="6"/>
  <c r="H155" i="6"/>
  <c r="H154" i="6"/>
  <c r="H153" i="6"/>
  <c r="H152" i="6"/>
  <c r="H151" i="6"/>
  <c r="H150" i="6"/>
  <c r="H149" i="6"/>
  <c r="H148" i="6"/>
  <c r="H147" i="6"/>
  <c r="H146" i="6"/>
  <c r="H145" i="6"/>
  <c r="H144" i="6"/>
  <c r="H143" i="6"/>
  <c r="H142" i="6"/>
  <c r="H141" i="6"/>
  <c r="H140" i="6"/>
  <c r="H139" i="6"/>
  <c r="H138" i="6"/>
  <c r="H137" i="6"/>
  <c r="H136" i="6"/>
  <c r="H135" i="6"/>
  <c r="H134" i="6"/>
  <c r="H133" i="6"/>
  <c r="H132" i="6"/>
  <c r="H131" i="6"/>
  <c r="H130" i="6"/>
  <c r="H129" i="6"/>
  <c r="H128" i="6"/>
  <c r="H127" i="6"/>
  <c r="H126" i="6"/>
  <c r="H125" i="6"/>
  <c r="H124" i="6"/>
  <c r="H123" i="6"/>
  <c r="H122" i="6"/>
  <c r="H121" i="6"/>
  <c r="H120" i="6"/>
  <c r="H119" i="6"/>
  <c r="H118" i="6"/>
  <c r="H117" i="6"/>
  <c r="H116" i="6"/>
  <c r="H115" i="6"/>
  <c r="H114" i="6"/>
  <c r="H113" i="6"/>
  <c r="H112" i="6"/>
  <c r="H111" i="6"/>
  <c r="H110" i="6"/>
  <c r="H109" i="6"/>
  <c r="H108" i="6"/>
  <c r="H107" i="6"/>
  <c r="H106" i="6"/>
  <c r="H105" i="6"/>
  <c r="H104" i="6"/>
  <c r="H103" i="6"/>
  <c r="H102" i="6"/>
  <c r="H101" i="6"/>
  <c r="H100" i="6"/>
  <c r="H99" i="6"/>
  <c r="H98" i="6"/>
  <c r="H97" i="6"/>
  <c r="H96" i="6"/>
  <c r="H95" i="6"/>
  <c r="H94" i="6"/>
  <c r="H93" i="6"/>
  <c r="H92" i="6"/>
  <c r="H91" i="6"/>
  <c r="H90" i="6"/>
  <c r="H89" i="6"/>
  <c r="H88" i="6"/>
  <c r="H87" i="6"/>
  <c r="H86" i="6"/>
  <c r="H85" i="6"/>
  <c r="H84" i="6"/>
  <c r="H83" i="6"/>
  <c r="H82" i="6"/>
  <c r="H81" i="6"/>
  <c r="H80" i="6"/>
  <c r="H79" i="6"/>
  <c r="H78" i="6"/>
  <c r="H77" i="6"/>
  <c r="H76" i="6"/>
  <c r="H75" i="6"/>
  <c r="H74" i="6"/>
  <c r="H73" i="6"/>
  <c r="H72" i="6"/>
  <c r="H71" i="6"/>
  <c r="H70" i="6"/>
  <c r="H69" i="6"/>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4" i="6"/>
  <c r="H3" i="6"/>
  <c r="H2" i="6"/>
  <c r="N13" i="1"/>
  <c r="M13" i="1"/>
  <c r="L13" i="1"/>
  <c r="K13" i="1"/>
  <c r="N12" i="1"/>
  <c r="M12" i="1"/>
  <c r="L12" i="1"/>
  <c r="K12" i="1"/>
  <c r="N11" i="1"/>
  <c r="M11" i="1"/>
  <c r="L11" i="1"/>
  <c r="K11" i="1"/>
  <c r="N10" i="1"/>
  <c r="M10" i="1"/>
  <c r="L10" i="1"/>
  <c r="K10" i="1"/>
  <c r="N9" i="1"/>
  <c r="M9" i="1"/>
  <c r="L9" i="1"/>
  <c r="K9" i="1"/>
  <c r="N8" i="1"/>
  <c r="M8" i="1"/>
  <c r="L8" i="1"/>
  <c r="K8" i="1"/>
  <c r="N7" i="1"/>
  <c r="M7" i="1"/>
  <c r="L7" i="1"/>
  <c r="K7" i="1"/>
  <c r="N6" i="1"/>
  <c r="M6" i="1"/>
  <c r="L6" i="1"/>
  <c r="K6" i="1"/>
  <c r="N5" i="1"/>
  <c r="M5" i="1"/>
  <c r="L5" i="1"/>
  <c r="K5" i="1"/>
  <c r="N4" i="1"/>
  <c r="M4" i="1"/>
  <c r="L4" i="1"/>
  <c r="K4" i="1"/>
  <c r="N3" i="1"/>
  <c r="M3" i="1"/>
  <c r="L3" i="1"/>
  <c r="K3" i="1"/>
  <c r="N2" i="1"/>
  <c r="M2" i="1"/>
  <c r="L2" i="1"/>
  <c r="O7" i="1" l="1"/>
  <c r="O13" i="1"/>
  <c r="O9" i="1"/>
  <c r="O5" i="1"/>
  <c r="O11" i="1"/>
  <c r="N14" i="1"/>
  <c r="O4" i="1"/>
  <c r="K14" i="1"/>
  <c r="O8" i="1"/>
  <c r="O12" i="1"/>
  <c r="O10" i="1"/>
  <c r="O6" i="1"/>
  <c r="L14" i="1"/>
  <c r="O2" i="1"/>
  <c r="O3" i="1"/>
  <c r="M14" i="1"/>
  <c r="O14" i="1" l="1"/>
</calcChain>
</file>

<file path=xl/sharedStrings.xml><?xml version="1.0" encoding="utf-8"?>
<sst xmlns="http://schemas.openxmlformats.org/spreadsheetml/2006/main" count="7419" uniqueCount="58">
  <si>
    <t>أمين، عمري</t>
  </si>
  <si>
    <t>Grand Total</t>
  </si>
  <si>
    <t>أحمد، عروج</t>
  </si>
  <si>
    <t>ياسين، عمري</t>
  </si>
  <si>
    <t>عبد الله، سبب</t>
  </si>
  <si>
    <t>مولاي رشيد علوي</t>
  </si>
  <si>
    <t>يدير نايت</t>
  </si>
  <si>
    <t>كريم، غسان</t>
  </si>
  <si>
    <t>غيثة، مدغر</t>
  </si>
  <si>
    <t>زهرة، زهور</t>
  </si>
  <si>
    <t>أمين، ماغ</t>
  </si>
  <si>
    <t>يسرى، قديري</t>
  </si>
  <si>
    <t>خالد، أحمام</t>
  </si>
  <si>
    <t>مبروكة، مدين</t>
  </si>
  <si>
    <t>جدة</t>
  </si>
  <si>
    <t>الجزائر</t>
  </si>
  <si>
    <t>الدار البيضاء</t>
  </si>
  <si>
    <t>القاهرة</t>
  </si>
  <si>
    <t>شركة بي واخوانه</t>
  </si>
  <si>
    <t>جديد ماركت</t>
  </si>
  <si>
    <t>هاي الرقمية</t>
  </si>
  <si>
    <t>الكترونيات الحافي</t>
  </si>
  <si>
    <t>صدى</t>
  </si>
  <si>
    <t>هاتف درجة أولى</t>
  </si>
  <si>
    <t>هاتف درجة متوسطة</t>
  </si>
  <si>
    <t>هاتف درجة دنيا</t>
  </si>
  <si>
    <t>هاتف درجة عادية</t>
  </si>
  <si>
    <t>مستلزمات</t>
  </si>
  <si>
    <t>البائع</t>
  </si>
  <si>
    <t>المنتج</t>
  </si>
  <si>
    <t>المنطقة</t>
  </si>
  <si>
    <t>الزبون</t>
  </si>
  <si>
    <t>التاريخ</t>
  </si>
  <si>
    <t>الثمن</t>
  </si>
  <si>
    <t>عدد المنتجات</t>
  </si>
  <si>
    <t>الكلفة الاجمالية</t>
  </si>
  <si>
    <t>سالم، البري</t>
  </si>
  <si>
    <t>أمينة البرغاجي</t>
  </si>
  <si>
    <t>امحمد، سالم</t>
  </si>
  <si>
    <t>مبروك، سودني</t>
  </si>
  <si>
    <t>إلهام، معني</t>
  </si>
  <si>
    <t>غيثة، مغير</t>
  </si>
  <si>
    <t>كريم، الحمد</t>
  </si>
  <si>
    <t>ياسر، القرماني</t>
  </si>
  <si>
    <t>مفيدة، عربون</t>
  </si>
  <si>
    <t>يسرى، ماتني</t>
  </si>
  <si>
    <t>عزيزة، مفتي</t>
  </si>
  <si>
    <t>المجموع</t>
  </si>
  <si>
    <t>Sum of عدد المنتجات</t>
  </si>
  <si>
    <t>الأشهر</t>
  </si>
  <si>
    <t>Row Labels</t>
  </si>
  <si>
    <t>Column Labels</t>
  </si>
  <si>
    <t>Group1</t>
  </si>
  <si>
    <t>Group1 Total</t>
  </si>
  <si>
    <t>المنطقة2</t>
  </si>
  <si>
    <t>Group2</t>
  </si>
  <si>
    <t>Group2 Total</t>
  </si>
  <si>
    <t>البائع2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</si>
</sst>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quot;$&quot;#,##0.00"/>
    <numFmt numFmtId="166" formatCode="yyyy\-mm\-dd;@"/>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1"/>
      <name val="Calibri"/>
      <family val="2"/>
      <scheme val="minor"/>
    </font>
    <font>
      <b/>
      <sz val="1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4" tint="0.59999389629810485"/>
        <bgColor theme="4" tint="0.79998168889431442"/>
      </patternFill>
    </fill>
    <fill>
      <patternFill patternType="solid">
        <fgColor theme="4" tint="0.59999389629810485"/>
        <bgColor indexed="64"/>
      </patternFill>
    </fill>
  </fills>
  <borders count="5">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0" fontId="3" fillId="0" borderId="0"/>
    <xf numFmtId="43" fontId="3" fillId="0" borderId="0" applyFont="0" applyFill="0" applyBorder="0" applyAlignment="0" applyProtection="0"/>
  </cellStyleXfs>
  <cellXfs count="39">
    <xf numFmtId="0" fontId="0" fillId="0" borderId="0" xfId="0"/>
    <xf numFmtId="0" fontId="2" fillId="2" borderId="1" xfId="2" applyFont="1" applyFill="1" applyBorder="1" applyAlignment="1">
      <alignment horizontal="left" vertical="center"/>
    </xf>
    <xf numFmtId="0" fontId="2" fillId="0" borderId="1" xfId="2" applyFont="1" applyBorder="1" applyAlignment="1">
      <alignment horizontal="left" vertical="center"/>
    </xf>
    <xf numFmtId="14" fontId="2" fillId="2" borderId="1" xfId="2" applyNumberFormat="1" applyFont="1" applyFill="1" applyBorder="1" applyAlignment="1">
      <alignment horizontal="center" vertical="center"/>
    </xf>
    <xf numFmtId="44" fontId="2" fillId="0" borderId="1" xfId="1" applyFont="1" applyFill="1" applyBorder="1" applyAlignment="1">
      <alignment horizontal="center" vertical="center"/>
    </xf>
    <xf numFmtId="164" fontId="2" fillId="2" borderId="1" xfId="3" applyNumberFormat="1" applyFont="1" applyFill="1" applyBorder="1" applyAlignment="1">
      <alignment horizontal="right" vertical="center"/>
    </xf>
    <xf numFmtId="44" fontId="2" fillId="0" borderId="1" xfId="1" applyFont="1" applyFill="1" applyBorder="1" applyAlignment="1">
      <alignment horizontal="right" vertical="center"/>
    </xf>
    <xf numFmtId="0" fontId="4" fillId="0" borderId="0" xfId="2" applyFont="1"/>
    <xf numFmtId="0" fontId="2" fillId="3" borderId="2" xfId="0" applyFont="1" applyFill="1" applyBorder="1" applyAlignment="1">
      <alignment horizontal="right" wrapText="1"/>
    </xf>
    <xf numFmtId="0" fontId="0" fillId="2" borderId="3" xfId="2" applyFont="1" applyFill="1" applyBorder="1"/>
    <xf numFmtId="0" fontId="4" fillId="0" borderId="3" xfId="2" applyFont="1" applyBorder="1"/>
    <xf numFmtId="0" fontId="4" fillId="2" borderId="3" xfId="2" applyFont="1" applyFill="1" applyBorder="1"/>
    <xf numFmtId="14" fontId="4" fillId="2" borderId="0" xfId="2" applyNumberFormat="1" applyFont="1" applyFill="1"/>
    <xf numFmtId="164" fontId="4" fillId="2" borderId="3" xfId="3" applyNumberFormat="1" applyFont="1" applyFill="1" applyBorder="1"/>
    <xf numFmtId="0" fontId="1" fillId="0" borderId="0" xfId="0" applyFont="1"/>
    <xf numFmtId="0" fontId="0" fillId="0" borderId="0" xfId="0" applyAlignment="1">
      <alignment horizontal="left"/>
    </xf>
    <xf numFmtId="0" fontId="4" fillId="4" borderId="0" xfId="2" applyFont="1" applyFill="1"/>
    <xf numFmtId="0" fontId="1" fillId="2" borderId="3" xfId="2" applyFont="1" applyFill="1" applyBorder="1"/>
    <xf numFmtId="0" fontId="1" fillId="0" borderId="0" xfId="0" applyFont="1" applyAlignment="1">
      <alignment horizontal="left"/>
    </xf>
    <xf numFmtId="165" fontId="4" fillId="0" borderId="0" xfId="2" applyNumberFormat="1" applyFont="1"/>
    <xf numFmtId="0" fontId="2" fillId="3" borderId="2" xfId="0" applyFont="1" applyFill="1" applyBorder="1" applyAlignment="1">
      <alignment horizontal="left" wrapText="1"/>
    </xf>
    <xf numFmtId="0" fontId="5" fillId="4" borderId="0" xfId="2" applyFont="1" applyFill="1"/>
    <xf numFmtId="0" fontId="0" fillId="2" borderId="4" xfId="2" applyFont="1" applyFill="1" applyBorder="1"/>
    <xf numFmtId="0" fontId="4" fillId="0" borderId="4" xfId="2" applyFont="1" applyBorder="1"/>
    <xf numFmtId="0" fontId="4" fillId="2" borderId="4" xfId="2" applyFont="1" applyFill="1" applyBorder="1"/>
    <xf numFmtId="14" fontId="4" fillId="2" borderId="4" xfId="2" applyNumberFormat="1" applyFont="1" applyFill="1" applyBorder="1"/>
    <xf numFmtId="164" fontId="4" fillId="2" borderId="4" xfId="3" applyNumberFormat="1" applyFont="1" applyFill="1" applyBorder="1"/>
    <xf numFmtId="14" fontId="4" fillId="0" borderId="0" xfId="2" applyNumberFormat="1" applyFont="1"/>
    <xf numFmtId="164" fontId="4" fillId="0" borderId="0" xfId="3" applyNumberFormat="1" applyFont="1"/>
    <xf numFmtId="0" fontId="0" fillId="0" borderId="0" xfId="0" pivotButton="1"/>
    <xf numFmtId="0" fontId="0" fillId="0" borderId="0" xfId="0" applyAlignment="1">
      <alignment horizontal="right"/>
    </xf>
    <xf numFmtId="43" fontId="4" fillId="0" borderId="3" xfId="1" applyNumberFormat="1" applyFont="1" applyBorder="1"/>
    <xf numFmtId="43" fontId="4" fillId="0" borderId="4" xfId="1" applyNumberFormat="1" applyFont="1" applyBorder="1"/>
    <xf numFmtId="43" fontId="2" fillId="0" borderId="1" xfId="1" applyNumberFormat="1" applyFont="1" applyFill="1" applyBorder="1" applyAlignment="1">
      <alignment horizontal="center" vertical="center"/>
    </xf>
    <xf numFmtId="43" fontId="4" fillId="0" borderId="0" xfId="1" applyNumberFormat="1" applyFont="1"/>
    <xf numFmtId="43" fontId="2" fillId="0" borderId="1" xfId="1" applyNumberFormat="1" applyFont="1" applyFill="1" applyBorder="1" applyAlignment="1">
      <alignment horizontal="right" vertical="center"/>
    </xf>
    <xf numFmtId="0" fontId="0" fillId="0" borderId="0" xfId="0" applyNumberFormat="1"/>
    <xf numFmtId="14" fontId="1" fillId="0" borderId="0" xfId="0" applyNumberFormat="1" applyFont="1"/>
    <xf numFmtId="14" fontId="0" fillId="0" borderId="0" xfId="0" applyNumberFormat="1"/>
  </cellXfs>
  <cellStyles count="4">
    <cellStyle name="Comma 2" xfId="3" xr:uid="{F5FF23B3-707A-41D0-A20B-EE532EF891E7}"/>
    <cellStyle name="Currency" xfId="1" builtinId="4"/>
    <cellStyle name="Normal" xfId="0" builtinId="0"/>
    <cellStyle name="Normal 2" xfId="2" xr:uid="{E1F8A6B0-730A-4B67-BDC6-F8F2E4A12F69}"/>
  </cellStyles>
  <dxfs count="0"/>
  <tableStyles count="0" defaultTableStyle="TableStyleMedium2" defaultPivotStyle="PivotStyleLight16"/>
  <colors>
    <mruColors>
      <color rgb="FFED7D31"/>
      <color rgb="FFCB4C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v>NE - Qtr1</c:v>
          </c:tx>
          <c:spPr>
            <a:solidFill>
              <a:srgbClr val="9999FF"/>
            </a:solidFill>
            <a:ln w="12700">
              <a:solidFill>
                <a:srgbClr val="000000"/>
              </a:solidFill>
              <a:prstDash val="solid"/>
            </a:ln>
          </c:spPr>
          <c:invertIfNegative val="0"/>
          <c:cat>
            <c:strLit>
              <c:ptCount val="5"/>
              <c:pt idx="0">
                <c:v>Clothes Washers</c:v>
              </c:pt>
              <c:pt idx="1">
                <c:v>Dishwashers</c:v>
              </c:pt>
              <c:pt idx="2">
                <c:v>Dryers</c:v>
              </c:pt>
              <c:pt idx="3">
                <c:v>Refrigerators</c:v>
              </c:pt>
              <c:pt idx="4">
                <c:v>Televisions</c:v>
              </c:pt>
            </c:strLit>
          </c:cat>
          <c:val>
            <c:numLit>
              <c:formatCode>General</c:formatCode>
              <c:ptCount val="5"/>
              <c:pt idx="0">
                <c:v>55</c:v>
              </c:pt>
              <c:pt idx="1">
                <c:v>96</c:v>
              </c:pt>
              <c:pt idx="2">
                <c:v>80</c:v>
              </c:pt>
              <c:pt idx="3">
                <c:v>99</c:v>
              </c:pt>
              <c:pt idx="4">
                <c:v>96</c:v>
              </c:pt>
            </c:numLit>
          </c:val>
          <c:extLst>
            <c:ext xmlns:c16="http://schemas.microsoft.com/office/drawing/2014/chart" uri="{C3380CC4-5D6E-409C-BE32-E72D297353CC}">
              <c16:uniqueId val="{00000000-7EB6-4EE1-A512-7238EA92B05B}"/>
            </c:ext>
          </c:extLst>
        </c:ser>
        <c:ser>
          <c:idx val="1"/>
          <c:order val="1"/>
          <c:tx>
            <c:v>NE - Qtr2</c:v>
          </c:tx>
          <c:spPr>
            <a:solidFill>
              <a:srgbClr val="993366"/>
            </a:solidFill>
            <a:ln w="12700">
              <a:solidFill>
                <a:srgbClr val="000000"/>
              </a:solidFill>
              <a:prstDash val="solid"/>
            </a:ln>
          </c:spPr>
          <c:invertIfNegative val="0"/>
          <c:cat>
            <c:strLit>
              <c:ptCount val="5"/>
              <c:pt idx="0">
                <c:v>Clothes Washers</c:v>
              </c:pt>
              <c:pt idx="1">
                <c:v>Dishwashers</c:v>
              </c:pt>
              <c:pt idx="2">
                <c:v>Dryers</c:v>
              </c:pt>
              <c:pt idx="3">
                <c:v>Refrigerators</c:v>
              </c:pt>
              <c:pt idx="4">
                <c:v>Televisions</c:v>
              </c:pt>
            </c:strLit>
          </c:cat>
          <c:val>
            <c:numLit>
              <c:formatCode>General</c:formatCode>
              <c:ptCount val="5"/>
              <c:pt idx="0">
                <c:v>48</c:v>
              </c:pt>
              <c:pt idx="1">
                <c:v>88</c:v>
              </c:pt>
              <c:pt idx="2">
                <c:v>88</c:v>
              </c:pt>
              <c:pt idx="3">
                <c:v>39</c:v>
              </c:pt>
              <c:pt idx="4">
                <c:v>98</c:v>
              </c:pt>
            </c:numLit>
          </c:val>
          <c:extLst>
            <c:ext xmlns:c16="http://schemas.microsoft.com/office/drawing/2014/chart" uri="{C3380CC4-5D6E-409C-BE32-E72D297353CC}">
              <c16:uniqueId val="{00000001-7EB6-4EE1-A512-7238EA92B05B}"/>
            </c:ext>
          </c:extLst>
        </c:ser>
        <c:ser>
          <c:idx val="2"/>
          <c:order val="2"/>
          <c:tx>
            <c:v>NE - Qtr3</c:v>
          </c:tx>
          <c:spPr>
            <a:solidFill>
              <a:srgbClr val="FFFFCC"/>
            </a:solidFill>
            <a:ln w="12700">
              <a:solidFill>
                <a:srgbClr val="000000"/>
              </a:solidFill>
              <a:prstDash val="solid"/>
            </a:ln>
          </c:spPr>
          <c:invertIfNegative val="0"/>
          <c:cat>
            <c:strLit>
              <c:ptCount val="5"/>
              <c:pt idx="0">
                <c:v>Clothes Washers</c:v>
              </c:pt>
              <c:pt idx="1">
                <c:v>Dishwashers</c:v>
              </c:pt>
              <c:pt idx="2">
                <c:v>Dryers</c:v>
              </c:pt>
              <c:pt idx="3">
                <c:v>Refrigerators</c:v>
              </c:pt>
              <c:pt idx="4">
                <c:v>Televisions</c:v>
              </c:pt>
            </c:strLit>
          </c:cat>
          <c:val>
            <c:numLit>
              <c:formatCode>General</c:formatCode>
              <c:ptCount val="5"/>
              <c:pt idx="0">
                <c:v>90</c:v>
              </c:pt>
              <c:pt idx="1">
                <c:v>67</c:v>
              </c:pt>
              <c:pt idx="2">
                <c:v>76</c:v>
              </c:pt>
              <c:pt idx="3">
                <c:v>116</c:v>
              </c:pt>
              <c:pt idx="4">
                <c:v>90</c:v>
              </c:pt>
            </c:numLit>
          </c:val>
          <c:extLst>
            <c:ext xmlns:c16="http://schemas.microsoft.com/office/drawing/2014/chart" uri="{C3380CC4-5D6E-409C-BE32-E72D297353CC}">
              <c16:uniqueId val="{00000002-7EB6-4EE1-A512-7238EA92B05B}"/>
            </c:ext>
          </c:extLst>
        </c:ser>
        <c:ser>
          <c:idx val="3"/>
          <c:order val="3"/>
          <c:tx>
            <c:v>NE - Qtr4</c:v>
          </c:tx>
          <c:spPr>
            <a:solidFill>
              <a:srgbClr val="CCFFFF"/>
            </a:solidFill>
            <a:ln w="12700">
              <a:solidFill>
                <a:srgbClr val="000000"/>
              </a:solidFill>
              <a:prstDash val="solid"/>
            </a:ln>
          </c:spPr>
          <c:invertIfNegative val="0"/>
          <c:cat>
            <c:strLit>
              <c:ptCount val="5"/>
              <c:pt idx="0">
                <c:v>Clothes Washers</c:v>
              </c:pt>
              <c:pt idx="1">
                <c:v>Dishwashers</c:v>
              </c:pt>
              <c:pt idx="2">
                <c:v>Dryers</c:v>
              </c:pt>
              <c:pt idx="3">
                <c:v>Refrigerators</c:v>
              </c:pt>
              <c:pt idx="4">
                <c:v>Televisions</c:v>
              </c:pt>
            </c:strLit>
          </c:cat>
          <c:val>
            <c:numLit>
              <c:formatCode>General</c:formatCode>
              <c:ptCount val="5"/>
              <c:pt idx="0">
                <c:v>51</c:v>
              </c:pt>
              <c:pt idx="1">
                <c:v>71</c:v>
              </c:pt>
              <c:pt idx="2">
                <c:v>92</c:v>
              </c:pt>
              <c:pt idx="3">
                <c:v>76</c:v>
              </c:pt>
              <c:pt idx="4">
                <c:v>97</c:v>
              </c:pt>
            </c:numLit>
          </c:val>
          <c:extLst>
            <c:ext xmlns:c16="http://schemas.microsoft.com/office/drawing/2014/chart" uri="{C3380CC4-5D6E-409C-BE32-E72D297353CC}">
              <c16:uniqueId val="{00000003-7EB6-4EE1-A512-7238EA92B05B}"/>
            </c:ext>
          </c:extLst>
        </c:ser>
        <c:ser>
          <c:idx val="4"/>
          <c:order val="4"/>
          <c:tx>
            <c:v>NW</c:v>
          </c:tx>
          <c:spPr>
            <a:solidFill>
              <a:srgbClr val="660066"/>
            </a:solidFill>
            <a:ln w="12700">
              <a:solidFill>
                <a:srgbClr val="000000"/>
              </a:solidFill>
              <a:prstDash val="solid"/>
            </a:ln>
          </c:spPr>
          <c:invertIfNegative val="0"/>
          <c:cat>
            <c:strLit>
              <c:ptCount val="5"/>
              <c:pt idx="0">
                <c:v>Clothes Washers</c:v>
              </c:pt>
              <c:pt idx="1">
                <c:v>Dishwashers</c:v>
              </c:pt>
              <c:pt idx="2">
                <c:v>Dryers</c:v>
              </c:pt>
              <c:pt idx="3">
                <c:v>Refrigerators</c:v>
              </c:pt>
              <c:pt idx="4">
                <c:v>Televisions</c:v>
              </c:pt>
            </c:strLit>
          </c:cat>
          <c:val>
            <c:numLit>
              <c:formatCode>General</c:formatCode>
              <c:ptCount val="5"/>
              <c:pt idx="0">
                <c:v>350</c:v>
              </c:pt>
              <c:pt idx="1">
                <c:v>268</c:v>
              </c:pt>
              <c:pt idx="2">
                <c:v>356</c:v>
              </c:pt>
              <c:pt idx="3">
                <c:v>327</c:v>
              </c:pt>
              <c:pt idx="4">
                <c:v>393</c:v>
              </c:pt>
            </c:numLit>
          </c:val>
          <c:extLst>
            <c:ext xmlns:c16="http://schemas.microsoft.com/office/drawing/2014/chart" uri="{C3380CC4-5D6E-409C-BE32-E72D297353CC}">
              <c16:uniqueId val="{00000004-7EB6-4EE1-A512-7238EA92B05B}"/>
            </c:ext>
          </c:extLst>
        </c:ser>
        <c:ser>
          <c:idx val="5"/>
          <c:order val="5"/>
          <c:tx>
            <c:v>SE - Qtr1</c:v>
          </c:tx>
          <c:spPr>
            <a:solidFill>
              <a:srgbClr val="FF8080"/>
            </a:solidFill>
            <a:ln w="12700">
              <a:solidFill>
                <a:srgbClr val="000000"/>
              </a:solidFill>
              <a:prstDash val="solid"/>
            </a:ln>
          </c:spPr>
          <c:invertIfNegative val="0"/>
          <c:cat>
            <c:strLit>
              <c:ptCount val="5"/>
              <c:pt idx="0">
                <c:v>Clothes Washers</c:v>
              </c:pt>
              <c:pt idx="1">
                <c:v>Dishwashers</c:v>
              </c:pt>
              <c:pt idx="2">
                <c:v>Dryers</c:v>
              </c:pt>
              <c:pt idx="3">
                <c:v>Refrigerators</c:v>
              </c:pt>
              <c:pt idx="4">
                <c:v>Televisions</c:v>
              </c:pt>
            </c:strLit>
          </c:cat>
          <c:val>
            <c:numLit>
              <c:formatCode>General</c:formatCode>
              <c:ptCount val="5"/>
              <c:pt idx="0">
                <c:v>59</c:v>
              </c:pt>
              <c:pt idx="1">
                <c:v>73</c:v>
              </c:pt>
              <c:pt idx="2">
                <c:v>109</c:v>
              </c:pt>
              <c:pt idx="3">
                <c:v>52</c:v>
              </c:pt>
              <c:pt idx="4">
                <c:v>82</c:v>
              </c:pt>
            </c:numLit>
          </c:val>
          <c:extLst>
            <c:ext xmlns:c16="http://schemas.microsoft.com/office/drawing/2014/chart" uri="{C3380CC4-5D6E-409C-BE32-E72D297353CC}">
              <c16:uniqueId val="{00000005-7EB6-4EE1-A512-7238EA92B05B}"/>
            </c:ext>
          </c:extLst>
        </c:ser>
        <c:ser>
          <c:idx val="6"/>
          <c:order val="6"/>
          <c:tx>
            <c:v>SE - Qtr2</c:v>
          </c:tx>
          <c:spPr>
            <a:solidFill>
              <a:srgbClr val="0066CC"/>
            </a:solidFill>
            <a:ln w="12700">
              <a:solidFill>
                <a:srgbClr val="000000"/>
              </a:solidFill>
              <a:prstDash val="solid"/>
            </a:ln>
          </c:spPr>
          <c:invertIfNegative val="0"/>
          <c:cat>
            <c:strLit>
              <c:ptCount val="5"/>
              <c:pt idx="0">
                <c:v>Clothes Washers</c:v>
              </c:pt>
              <c:pt idx="1">
                <c:v>Dishwashers</c:v>
              </c:pt>
              <c:pt idx="2">
                <c:v>Dryers</c:v>
              </c:pt>
              <c:pt idx="3">
                <c:v>Refrigerators</c:v>
              </c:pt>
              <c:pt idx="4">
                <c:v>Televisions</c:v>
              </c:pt>
            </c:strLit>
          </c:cat>
          <c:val>
            <c:numLit>
              <c:formatCode>General</c:formatCode>
              <c:ptCount val="5"/>
              <c:pt idx="0">
                <c:v>115</c:v>
              </c:pt>
              <c:pt idx="1">
                <c:v>79</c:v>
              </c:pt>
              <c:pt idx="2">
                <c:v>97</c:v>
              </c:pt>
              <c:pt idx="3">
                <c:v>77</c:v>
              </c:pt>
              <c:pt idx="4">
                <c:v>82</c:v>
              </c:pt>
            </c:numLit>
          </c:val>
          <c:extLst>
            <c:ext xmlns:c16="http://schemas.microsoft.com/office/drawing/2014/chart" uri="{C3380CC4-5D6E-409C-BE32-E72D297353CC}">
              <c16:uniqueId val="{00000006-7EB6-4EE1-A512-7238EA92B05B}"/>
            </c:ext>
          </c:extLst>
        </c:ser>
        <c:ser>
          <c:idx val="7"/>
          <c:order val="7"/>
          <c:tx>
            <c:v>SE - Qtr3</c:v>
          </c:tx>
          <c:spPr>
            <a:solidFill>
              <a:srgbClr val="CCCCFF"/>
            </a:solidFill>
            <a:ln w="12700">
              <a:solidFill>
                <a:srgbClr val="000000"/>
              </a:solidFill>
              <a:prstDash val="solid"/>
            </a:ln>
          </c:spPr>
          <c:invertIfNegative val="0"/>
          <c:cat>
            <c:strLit>
              <c:ptCount val="5"/>
              <c:pt idx="0">
                <c:v>Clothes Washers</c:v>
              </c:pt>
              <c:pt idx="1">
                <c:v>Dishwashers</c:v>
              </c:pt>
              <c:pt idx="2">
                <c:v>Dryers</c:v>
              </c:pt>
              <c:pt idx="3">
                <c:v>Refrigerators</c:v>
              </c:pt>
              <c:pt idx="4">
                <c:v>Televisions</c:v>
              </c:pt>
            </c:strLit>
          </c:cat>
          <c:val>
            <c:numLit>
              <c:formatCode>General</c:formatCode>
              <c:ptCount val="5"/>
              <c:pt idx="0">
                <c:v>75</c:v>
              </c:pt>
              <c:pt idx="1">
                <c:v>53</c:v>
              </c:pt>
              <c:pt idx="2">
                <c:v>31</c:v>
              </c:pt>
              <c:pt idx="3">
                <c:v>85</c:v>
              </c:pt>
              <c:pt idx="4">
                <c:v>112</c:v>
              </c:pt>
            </c:numLit>
          </c:val>
          <c:extLst>
            <c:ext xmlns:c16="http://schemas.microsoft.com/office/drawing/2014/chart" uri="{C3380CC4-5D6E-409C-BE32-E72D297353CC}">
              <c16:uniqueId val="{00000007-7EB6-4EE1-A512-7238EA92B05B}"/>
            </c:ext>
          </c:extLst>
        </c:ser>
        <c:ser>
          <c:idx val="8"/>
          <c:order val="8"/>
          <c:tx>
            <c:v>SE - Qtr4</c:v>
          </c:tx>
          <c:spPr>
            <a:solidFill>
              <a:srgbClr val="000080"/>
            </a:solidFill>
            <a:ln w="12700">
              <a:solidFill>
                <a:srgbClr val="000000"/>
              </a:solidFill>
              <a:prstDash val="solid"/>
            </a:ln>
          </c:spPr>
          <c:invertIfNegative val="0"/>
          <c:cat>
            <c:strLit>
              <c:ptCount val="5"/>
              <c:pt idx="0">
                <c:v>Clothes Washers</c:v>
              </c:pt>
              <c:pt idx="1">
                <c:v>Dishwashers</c:v>
              </c:pt>
              <c:pt idx="2">
                <c:v>Dryers</c:v>
              </c:pt>
              <c:pt idx="3">
                <c:v>Refrigerators</c:v>
              </c:pt>
              <c:pt idx="4">
                <c:v>Televisions</c:v>
              </c:pt>
            </c:strLit>
          </c:cat>
          <c:val>
            <c:numLit>
              <c:formatCode>General</c:formatCode>
              <c:ptCount val="5"/>
              <c:pt idx="0">
                <c:v>114</c:v>
              </c:pt>
              <c:pt idx="1">
                <c:v>83</c:v>
              </c:pt>
              <c:pt idx="2">
                <c:v>91</c:v>
              </c:pt>
              <c:pt idx="3">
                <c:v>78</c:v>
              </c:pt>
              <c:pt idx="4">
                <c:v>169</c:v>
              </c:pt>
            </c:numLit>
          </c:val>
          <c:extLst>
            <c:ext xmlns:c16="http://schemas.microsoft.com/office/drawing/2014/chart" uri="{C3380CC4-5D6E-409C-BE32-E72D297353CC}">
              <c16:uniqueId val="{00000008-7EB6-4EE1-A512-7238EA92B05B}"/>
            </c:ext>
          </c:extLst>
        </c:ser>
        <c:ser>
          <c:idx val="9"/>
          <c:order val="9"/>
          <c:tx>
            <c:v>SW</c:v>
          </c:tx>
          <c:spPr>
            <a:solidFill>
              <a:srgbClr val="FF00FF"/>
            </a:solidFill>
            <a:ln w="12700">
              <a:solidFill>
                <a:srgbClr val="000000"/>
              </a:solidFill>
              <a:prstDash val="solid"/>
            </a:ln>
          </c:spPr>
          <c:invertIfNegative val="0"/>
          <c:cat>
            <c:strLit>
              <c:ptCount val="5"/>
              <c:pt idx="0">
                <c:v>Clothes Washers</c:v>
              </c:pt>
              <c:pt idx="1">
                <c:v>Dishwashers</c:v>
              </c:pt>
              <c:pt idx="2">
                <c:v>Dryers</c:v>
              </c:pt>
              <c:pt idx="3">
                <c:v>Refrigerators</c:v>
              </c:pt>
              <c:pt idx="4">
                <c:v>Televisions</c:v>
              </c:pt>
            </c:strLit>
          </c:cat>
          <c:val>
            <c:numLit>
              <c:formatCode>General</c:formatCode>
              <c:ptCount val="5"/>
              <c:pt idx="0">
                <c:v>414</c:v>
              </c:pt>
              <c:pt idx="1">
                <c:v>251</c:v>
              </c:pt>
              <c:pt idx="2">
                <c:v>237</c:v>
              </c:pt>
              <c:pt idx="3">
                <c:v>320</c:v>
              </c:pt>
              <c:pt idx="4">
                <c:v>273</c:v>
              </c:pt>
            </c:numLit>
          </c:val>
          <c:extLst>
            <c:ext xmlns:c16="http://schemas.microsoft.com/office/drawing/2014/chart" uri="{C3380CC4-5D6E-409C-BE32-E72D297353CC}">
              <c16:uniqueId val="{00000009-7EB6-4EE1-A512-7238EA92B05B}"/>
            </c:ext>
          </c:extLst>
        </c:ser>
        <c:dLbls>
          <c:showLegendKey val="0"/>
          <c:showVal val="0"/>
          <c:showCatName val="0"/>
          <c:showSerName val="0"/>
          <c:showPercent val="0"/>
          <c:showBubbleSize val="0"/>
        </c:dLbls>
        <c:gapWidth val="150"/>
        <c:overlap val="100"/>
        <c:axId val="-1362221120"/>
        <c:axId val="-930661440"/>
      </c:barChart>
      <c:catAx>
        <c:axId val="-13622211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930661440"/>
        <c:crosses val="autoZero"/>
        <c:auto val="1"/>
        <c:lblAlgn val="ctr"/>
        <c:lblOffset val="100"/>
        <c:tickLblSkip val="3"/>
        <c:tickMarkSkip val="1"/>
        <c:noMultiLvlLbl val="0"/>
      </c:catAx>
      <c:valAx>
        <c:axId val="-93066144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1362221120"/>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n-US"/>
    </a:p>
  </c:txPr>
  <c:printSettings>
    <c:headerFooter alignWithMargins="0"/>
    <c:pageMargins b="1" l="0.750000000000002" r="0.750000000000002"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v>NE</c:v>
          </c:tx>
          <c:spPr>
            <a:solidFill>
              <a:srgbClr val="9999FF"/>
            </a:solidFill>
            <a:ln w="12700">
              <a:solidFill>
                <a:srgbClr val="000000"/>
              </a:solidFill>
              <a:prstDash val="solid"/>
            </a:ln>
          </c:spPr>
          <c:invertIfNegative val="0"/>
          <c:cat>
            <c:strLit>
              <c:ptCount val="5"/>
              <c:pt idx="0">
                <c:v>Clothes Washers</c:v>
              </c:pt>
              <c:pt idx="1">
                <c:v>Dishwashers</c:v>
              </c:pt>
              <c:pt idx="2">
                <c:v>Dryers</c:v>
              </c:pt>
              <c:pt idx="3">
                <c:v>Refrigerators</c:v>
              </c:pt>
              <c:pt idx="4">
                <c:v>Televisions</c:v>
              </c:pt>
            </c:strLit>
          </c:cat>
          <c:val>
            <c:numLit>
              <c:formatCode>General</c:formatCode>
              <c:ptCount val="5"/>
              <c:pt idx="0">
                <c:v>244</c:v>
              </c:pt>
              <c:pt idx="1">
                <c:v>322</c:v>
              </c:pt>
              <c:pt idx="2">
                <c:v>336</c:v>
              </c:pt>
              <c:pt idx="3">
                <c:v>330</c:v>
              </c:pt>
              <c:pt idx="4">
                <c:v>381</c:v>
              </c:pt>
            </c:numLit>
          </c:val>
          <c:extLst>
            <c:ext xmlns:c16="http://schemas.microsoft.com/office/drawing/2014/chart" uri="{C3380CC4-5D6E-409C-BE32-E72D297353CC}">
              <c16:uniqueId val="{00000000-575D-4020-A1E5-A484741D7354}"/>
            </c:ext>
          </c:extLst>
        </c:ser>
        <c:ser>
          <c:idx val="1"/>
          <c:order val="1"/>
          <c:tx>
            <c:v>NW</c:v>
          </c:tx>
          <c:spPr>
            <a:solidFill>
              <a:srgbClr val="993366"/>
            </a:solidFill>
            <a:ln w="12700">
              <a:solidFill>
                <a:srgbClr val="000000"/>
              </a:solidFill>
              <a:prstDash val="solid"/>
            </a:ln>
          </c:spPr>
          <c:invertIfNegative val="0"/>
          <c:cat>
            <c:strLit>
              <c:ptCount val="5"/>
              <c:pt idx="0">
                <c:v>Clothes Washers</c:v>
              </c:pt>
              <c:pt idx="1">
                <c:v>Dishwashers</c:v>
              </c:pt>
              <c:pt idx="2">
                <c:v>Dryers</c:v>
              </c:pt>
              <c:pt idx="3">
                <c:v>Refrigerators</c:v>
              </c:pt>
              <c:pt idx="4">
                <c:v>Televisions</c:v>
              </c:pt>
            </c:strLit>
          </c:cat>
          <c:val>
            <c:numLit>
              <c:formatCode>General</c:formatCode>
              <c:ptCount val="5"/>
              <c:pt idx="0">
                <c:v>350</c:v>
              </c:pt>
              <c:pt idx="1">
                <c:v>268</c:v>
              </c:pt>
              <c:pt idx="2">
                <c:v>356</c:v>
              </c:pt>
              <c:pt idx="3">
                <c:v>327</c:v>
              </c:pt>
              <c:pt idx="4">
                <c:v>393</c:v>
              </c:pt>
            </c:numLit>
          </c:val>
          <c:extLst>
            <c:ext xmlns:c16="http://schemas.microsoft.com/office/drawing/2014/chart" uri="{C3380CC4-5D6E-409C-BE32-E72D297353CC}">
              <c16:uniqueId val="{00000001-575D-4020-A1E5-A484741D7354}"/>
            </c:ext>
          </c:extLst>
        </c:ser>
        <c:ser>
          <c:idx val="2"/>
          <c:order val="2"/>
          <c:tx>
            <c:v>SE</c:v>
          </c:tx>
          <c:spPr>
            <a:solidFill>
              <a:srgbClr val="FFFFCC"/>
            </a:solidFill>
            <a:ln w="12700">
              <a:solidFill>
                <a:srgbClr val="000000"/>
              </a:solidFill>
              <a:prstDash val="solid"/>
            </a:ln>
          </c:spPr>
          <c:invertIfNegative val="0"/>
          <c:cat>
            <c:strLit>
              <c:ptCount val="5"/>
              <c:pt idx="0">
                <c:v>Clothes Washers</c:v>
              </c:pt>
              <c:pt idx="1">
                <c:v>Dishwashers</c:v>
              </c:pt>
              <c:pt idx="2">
                <c:v>Dryers</c:v>
              </c:pt>
              <c:pt idx="3">
                <c:v>Refrigerators</c:v>
              </c:pt>
              <c:pt idx="4">
                <c:v>Televisions</c:v>
              </c:pt>
            </c:strLit>
          </c:cat>
          <c:val>
            <c:numLit>
              <c:formatCode>General</c:formatCode>
              <c:ptCount val="5"/>
              <c:pt idx="0">
                <c:v>363</c:v>
              </c:pt>
              <c:pt idx="1">
                <c:v>288</c:v>
              </c:pt>
              <c:pt idx="2">
                <c:v>328</c:v>
              </c:pt>
              <c:pt idx="3">
                <c:v>292</c:v>
              </c:pt>
              <c:pt idx="4">
                <c:v>445</c:v>
              </c:pt>
            </c:numLit>
          </c:val>
          <c:extLst>
            <c:ext xmlns:c16="http://schemas.microsoft.com/office/drawing/2014/chart" uri="{C3380CC4-5D6E-409C-BE32-E72D297353CC}">
              <c16:uniqueId val="{00000002-575D-4020-A1E5-A484741D7354}"/>
            </c:ext>
          </c:extLst>
        </c:ser>
        <c:ser>
          <c:idx val="3"/>
          <c:order val="3"/>
          <c:tx>
            <c:v>SW</c:v>
          </c:tx>
          <c:spPr>
            <a:solidFill>
              <a:srgbClr val="CCFFFF"/>
            </a:solidFill>
            <a:ln w="12700">
              <a:solidFill>
                <a:srgbClr val="000000"/>
              </a:solidFill>
              <a:prstDash val="solid"/>
            </a:ln>
          </c:spPr>
          <c:invertIfNegative val="0"/>
          <c:cat>
            <c:strLit>
              <c:ptCount val="5"/>
              <c:pt idx="0">
                <c:v>Clothes Washers</c:v>
              </c:pt>
              <c:pt idx="1">
                <c:v>Dishwashers</c:v>
              </c:pt>
              <c:pt idx="2">
                <c:v>Dryers</c:v>
              </c:pt>
              <c:pt idx="3">
                <c:v>Refrigerators</c:v>
              </c:pt>
              <c:pt idx="4">
                <c:v>Televisions</c:v>
              </c:pt>
            </c:strLit>
          </c:cat>
          <c:val>
            <c:numLit>
              <c:formatCode>General</c:formatCode>
              <c:ptCount val="5"/>
              <c:pt idx="0">
                <c:v>414</c:v>
              </c:pt>
              <c:pt idx="1">
                <c:v>251</c:v>
              </c:pt>
              <c:pt idx="2">
                <c:v>237</c:v>
              </c:pt>
              <c:pt idx="3">
                <c:v>320</c:v>
              </c:pt>
              <c:pt idx="4">
                <c:v>273</c:v>
              </c:pt>
            </c:numLit>
          </c:val>
          <c:extLst>
            <c:ext xmlns:c16="http://schemas.microsoft.com/office/drawing/2014/chart" uri="{C3380CC4-5D6E-409C-BE32-E72D297353CC}">
              <c16:uniqueId val="{00000003-575D-4020-A1E5-A484741D7354}"/>
            </c:ext>
          </c:extLst>
        </c:ser>
        <c:dLbls>
          <c:showLegendKey val="0"/>
          <c:showVal val="0"/>
          <c:showCatName val="0"/>
          <c:showSerName val="0"/>
          <c:showPercent val="0"/>
          <c:showBubbleSize val="0"/>
        </c:dLbls>
        <c:gapWidth val="150"/>
        <c:overlap val="100"/>
        <c:axId val="-930660896"/>
        <c:axId val="-930672320"/>
      </c:barChart>
      <c:catAx>
        <c:axId val="-93066089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930672320"/>
        <c:crosses val="autoZero"/>
        <c:auto val="1"/>
        <c:lblAlgn val="ctr"/>
        <c:lblOffset val="100"/>
        <c:tickLblSkip val="3"/>
        <c:tickMarkSkip val="1"/>
        <c:noMultiLvlLbl val="0"/>
      </c:catAx>
      <c:valAx>
        <c:axId val="-93067232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930660896"/>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n-US"/>
    </a:p>
  </c:txPr>
  <c:printSettings>
    <c:headerFooter alignWithMargins="0"/>
    <c:pageMargins b="1" l="0.750000000000002" r="0.750000000000002" t="1" header="0.5" footer="0.5"/>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884</xdr:row>
      <xdr:rowOff>0</xdr:rowOff>
    </xdr:from>
    <xdr:to>
      <xdr:col>8</xdr:col>
      <xdr:colOff>0</xdr:colOff>
      <xdr:row>884</xdr:row>
      <xdr:rowOff>0</xdr:rowOff>
    </xdr:to>
    <xdr:graphicFrame macro="">
      <xdr:nvGraphicFramePr>
        <xdr:cNvPr id="2" name="Chart 7">
          <a:extLst>
            <a:ext uri="{FF2B5EF4-FFF2-40B4-BE49-F238E27FC236}">
              <a16:creationId xmlns:a16="http://schemas.microsoft.com/office/drawing/2014/main" id="{F97B841D-B0E7-4666-A11A-524B66BD0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0</xdr:rowOff>
    </xdr:from>
    <xdr:to>
      <xdr:col>8</xdr:col>
      <xdr:colOff>0</xdr:colOff>
      <xdr:row>4</xdr:row>
      <xdr:rowOff>0</xdr:rowOff>
    </xdr:to>
    <xdr:graphicFrame macro="">
      <xdr:nvGraphicFramePr>
        <xdr:cNvPr id="3" name="Chart 9">
          <a:extLst>
            <a:ext uri="{FF2B5EF4-FFF2-40B4-BE49-F238E27FC236}">
              <a16:creationId xmlns:a16="http://schemas.microsoft.com/office/drawing/2014/main" id="{B1DC9388-A487-4390-865F-E00AD2CBD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91440</xdr:colOff>
      <xdr:row>10</xdr:row>
      <xdr:rowOff>76201</xdr:rowOff>
    </xdr:from>
    <xdr:to>
      <xdr:col>10</xdr:col>
      <xdr:colOff>754380</xdr:colOff>
      <xdr:row>21</xdr:row>
      <xdr:rowOff>76201</xdr:rowOff>
    </xdr:to>
    <mc:AlternateContent xmlns:mc="http://schemas.openxmlformats.org/markup-compatibility/2006" xmlns:a14="http://schemas.microsoft.com/office/drawing/2010/main">
      <mc:Choice Requires="a14">
        <xdr:graphicFrame macro="">
          <xdr:nvGraphicFramePr>
            <xdr:cNvPr id="2" name="البائع">
              <a:extLst>
                <a:ext uri="{FF2B5EF4-FFF2-40B4-BE49-F238E27FC236}">
                  <a16:creationId xmlns:a16="http://schemas.microsoft.com/office/drawing/2014/main" id="{DD0BB8EF-0936-4DFB-951F-9975202E8F1F}"/>
                </a:ext>
              </a:extLst>
            </xdr:cNvPr>
            <xdr:cNvGraphicFramePr/>
          </xdr:nvGraphicFramePr>
          <xdr:xfrm>
            <a:off x="0" y="0"/>
            <a:ext cx="0" cy="0"/>
          </xdr:xfrm>
          <a:graphic>
            <a:graphicData uri="http://schemas.microsoft.com/office/drawing/2010/slicer">
              <sle:slicer xmlns:sle="http://schemas.microsoft.com/office/drawing/2010/slicer" name="البائع"/>
            </a:graphicData>
          </a:graphic>
        </xdr:graphicFrame>
      </mc:Choice>
      <mc:Fallback xmlns="">
        <xdr:sp macro="" textlink="">
          <xdr:nvSpPr>
            <xdr:cNvPr id="0" name=""/>
            <xdr:cNvSpPr>
              <a:spLocks noTextEdit="1"/>
            </xdr:cNvSpPr>
          </xdr:nvSpPr>
          <xdr:spPr>
            <a:xfrm>
              <a:off x="9981605640" y="1905001"/>
              <a:ext cx="3619500" cy="2011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617220</xdr:colOff>
      <xdr:row>0</xdr:row>
      <xdr:rowOff>106681</xdr:rowOff>
    </xdr:from>
    <xdr:to>
      <xdr:col>10</xdr:col>
      <xdr:colOff>998220</xdr:colOff>
      <xdr:row>9</xdr:row>
      <xdr:rowOff>144781</xdr:rowOff>
    </xdr:to>
    <mc:AlternateContent xmlns:mc="http://schemas.openxmlformats.org/markup-compatibility/2006" xmlns:a14="http://schemas.microsoft.com/office/drawing/2010/main">
      <mc:Choice Requires="a14">
        <xdr:graphicFrame macro="">
          <xdr:nvGraphicFramePr>
            <xdr:cNvPr id="3" name="المنتج">
              <a:extLst>
                <a:ext uri="{FF2B5EF4-FFF2-40B4-BE49-F238E27FC236}">
                  <a16:creationId xmlns:a16="http://schemas.microsoft.com/office/drawing/2014/main" id="{90DB479F-2C26-4DB9-A8A5-2E7C949F02B3}"/>
                </a:ext>
              </a:extLst>
            </xdr:cNvPr>
            <xdr:cNvGraphicFramePr/>
          </xdr:nvGraphicFramePr>
          <xdr:xfrm>
            <a:off x="0" y="0"/>
            <a:ext cx="0" cy="0"/>
          </xdr:xfrm>
          <a:graphic>
            <a:graphicData uri="http://schemas.microsoft.com/office/drawing/2010/slicer">
              <sle:slicer xmlns:sle="http://schemas.microsoft.com/office/drawing/2010/slicer" name="المنتج"/>
            </a:graphicData>
          </a:graphic>
        </xdr:graphicFrame>
      </mc:Choice>
      <mc:Fallback xmlns="">
        <xdr:sp macro="" textlink="">
          <xdr:nvSpPr>
            <xdr:cNvPr id="0" name=""/>
            <xdr:cNvSpPr>
              <a:spLocks noTextEdit="1"/>
            </xdr:cNvSpPr>
          </xdr:nvSpPr>
          <xdr:spPr>
            <a:xfrm>
              <a:off x="9981361800" y="106681"/>
              <a:ext cx="1440180" cy="1684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563880</xdr:colOff>
      <xdr:row>0</xdr:row>
      <xdr:rowOff>114301</xdr:rowOff>
    </xdr:from>
    <xdr:to>
      <xdr:col>9</xdr:col>
      <xdr:colOff>609600</xdr:colOff>
      <xdr:row>10</xdr:row>
      <xdr:rowOff>7621</xdr:rowOff>
    </xdr:to>
    <mc:AlternateContent xmlns:mc="http://schemas.openxmlformats.org/markup-compatibility/2006" xmlns:a14="http://schemas.microsoft.com/office/drawing/2010/main">
      <mc:Choice Requires="a14">
        <xdr:graphicFrame macro="">
          <xdr:nvGraphicFramePr>
            <xdr:cNvPr id="4" name="المنطقة">
              <a:extLst>
                <a:ext uri="{FF2B5EF4-FFF2-40B4-BE49-F238E27FC236}">
                  <a16:creationId xmlns:a16="http://schemas.microsoft.com/office/drawing/2014/main" id="{86D96C93-D6C7-46E0-BA14-EA020C01E6BE}"/>
                </a:ext>
              </a:extLst>
            </xdr:cNvPr>
            <xdr:cNvGraphicFramePr/>
          </xdr:nvGraphicFramePr>
          <xdr:xfrm>
            <a:off x="0" y="0"/>
            <a:ext cx="0" cy="0"/>
          </xdr:xfrm>
          <a:graphic>
            <a:graphicData uri="http://schemas.microsoft.com/office/drawing/2010/slicer">
              <sle:slicer xmlns:sle="http://schemas.microsoft.com/office/drawing/2010/slicer" name="المنطقة"/>
            </a:graphicData>
          </a:graphic>
        </xdr:graphicFrame>
      </mc:Choice>
      <mc:Fallback xmlns="">
        <xdr:sp macro="" textlink="">
          <xdr:nvSpPr>
            <xdr:cNvPr id="0" name=""/>
            <xdr:cNvSpPr>
              <a:spLocks noTextEdit="1"/>
            </xdr:cNvSpPr>
          </xdr:nvSpPr>
          <xdr:spPr>
            <a:xfrm>
              <a:off x="9982809600" y="114301"/>
              <a:ext cx="1203960" cy="1722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91440</xdr:colOff>
      <xdr:row>0</xdr:row>
      <xdr:rowOff>114301</xdr:rowOff>
    </xdr:from>
    <xdr:to>
      <xdr:col>8</xdr:col>
      <xdr:colOff>548640</xdr:colOff>
      <xdr:row>10</xdr:row>
      <xdr:rowOff>15241</xdr:rowOff>
    </xdr:to>
    <mc:AlternateContent xmlns:mc="http://schemas.openxmlformats.org/markup-compatibility/2006" xmlns:a14="http://schemas.microsoft.com/office/drawing/2010/main">
      <mc:Choice Requires="a14">
        <xdr:graphicFrame macro="">
          <xdr:nvGraphicFramePr>
            <xdr:cNvPr id="5" name="الزبون">
              <a:extLst>
                <a:ext uri="{FF2B5EF4-FFF2-40B4-BE49-F238E27FC236}">
                  <a16:creationId xmlns:a16="http://schemas.microsoft.com/office/drawing/2014/main" id="{05A5C04E-C8CC-495C-BCD1-B767650F0AF6}"/>
                </a:ext>
              </a:extLst>
            </xdr:cNvPr>
            <xdr:cNvGraphicFramePr/>
          </xdr:nvGraphicFramePr>
          <xdr:xfrm>
            <a:off x="0" y="0"/>
            <a:ext cx="0" cy="0"/>
          </xdr:xfrm>
          <a:graphic>
            <a:graphicData uri="http://schemas.microsoft.com/office/drawing/2010/slicer">
              <sle:slicer xmlns:sle="http://schemas.microsoft.com/office/drawing/2010/slicer" name="الزبون"/>
            </a:graphicData>
          </a:graphic>
        </xdr:graphicFrame>
      </mc:Choice>
      <mc:Fallback xmlns="">
        <xdr:sp macro="" textlink="">
          <xdr:nvSpPr>
            <xdr:cNvPr id="0" name=""/>
            <xdr:cNvSpPr>
              <a:spLocks noTextEdit="1"/>
            </xdr:cNvSpPr>
          </xdr:nvSpPr>
          <xdr:spPr>
            <a:xfrm>
              <a:off x="9984028800" y="114301"/>
              <a:ext cx="1196340" cy="1729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ahim" refreshedDate="44668.558440972221" createdVersion="7" refreshedVersion="7" minRefreshableVersion="3" recordCount="909" xr:uid="{C13709EA-08A0-43B6-8807-4445EDCA4FD0}">
  <cacheSource type="worksheet">
    <worksheetSource ref="A1:H910" sheet="انشاء"/>
  </cacheSource>
  <cacheFields count="11">
    <cacheField name="البائع" numFmtId="0">
      <sharedItems count="12">
        <s v="أحمد، عروج"/>
        <s v="ياسين، عمري"/>
        <s v="عبد الله، سبب"/>
        <s v="مولاي رشيد علوي"/>
        <s v="يدير نايت"/>
        <s v="كريم، غسان"/>
        <s v="غيثة، مدغر"/>
        <s v="زهرة، زهور"/>
        <s v="أمين، ماغ"/>
        <s v="يسرى، قديري"/>
        <s v="خالد، أحمام"/>
        <s v="مبروكة، مدين"/>
      </sharedItems>
      <fieldGroup par="10"/>
    </cacheField>
    <cacheField name="المنتج" numFmtId="0">
      <sharedItems count="5">
        <s v="هاتف درجة أولى"/>
        <s v="هاتف درجة متوسطة"/>
        <s v="هاتف درجة عادية"/>
        <s v="هاتف درجة دنيا"/>
        <s v="مستلزمات"/>
      </sharedItems>
      <fieldGroup par="9"/>
    </cacheField>
    <cacheField name="المنطقة" numFmtId="0">
      <sharedItems count="4">
        <s v="جدة"/>
        <s v="الجزائر"/>
        <s v="الدار البيضاء"/>
        <s v="القاهرة"/>
      </sharedItems>
      <fieldGroup par="8"/>
    </cacheField>
    <cacheField name="الزبون" numFmtId="0">
      <sharedItems count="5">
        <s v="شركة بي واخوانه"/>
        <s v="جديد ماركت"/>
        <s v="هاي الرقمية"/>
        <s v="الكترونيات الحافي"/>
        <s v="صدى"/>
      </sharedItems>
    </cacheField>
    <cacheField name="التاريخ" numFmtId="166">
      <sharedItems containsSemiMixedTypes="0" containsNonDate="0" containsDate="1" containsString="0" minDate="2020-01-06T00:00:00" maxDate="2021-12-31T00:00:00" count="449">
        <d v="2020-07-31T00:00:00"/>
        <d v="2021-07-19T00:00:00"/>
        <d v="2021-02-03T00:00:00"/>
        <d v="2021-04-02T00:00:00"/>
        <d v="2021-07-25T00:00:00"/>
        <d v="2020-12-25T00:00:00"/>
        <d v="2020-11-20T00:00:00"/>
        <d v="2021-09-15T00:00:00"/>
        <d v="2020-01-14T00:00:00"/>
        <d v="2021-01-30T00:00:00"/>
        <d v="2021-02-11T00:00:00"/>
        <d v="2020-03-21T00:00:00"/>
        <d v="2021-05-03T00:00:00"/>
        <d v="2020-01-29T00:00:00"/>
        <d v="2020-01-26T00:00:00"/>
        <d v="2021-03-28T00:00:00"/>
        <d v="2020-04-08T00:00:00"/>
        <d v="2021-10-25T00:00:00"/>
        <d v="2021-04-01T00:00:00"/>
        <d v="2020-05-16T00:00:00"/>
        <d v="2020-03-07T00:00:00"/>
        <d v="2020-01-08T00:00:00"/>
        <d v="2020-12-24T00:00:00"/>
        <d v="2021-10-13T00:00:00"/>
        <d v="2021-08-16T00:00:00"/>
        <d v="2020-06-21T00:00:00"/>
        <d v="2020-11-12T00:00:00"/>
        <d v="2021-06-19T00:00:00"/>
        <d v="2021-03-01T00:00:00"/>
        <d v="2020-12-30T00:00:00"/>
        <d v="2021-07-08T00:00:00"/>
        <d v="2021-03-15T00:00:00"/>
        <d v="2020-06-28T00:00:00"/>
        <d v="2021-10-11T00:00:00"/>
        <d v="2021-08-20T00:00:00"/>
        <d v="2021-10-31T00:00:00"/>
        <d v="2021-09-23T00:00:00"/>
        <d v="2021-05-10T00:00:00"/>
        <d v="2020-04-25T00:00:00"/>
        <d v="2020-12-13T00:00:00"/>
        <d v="2021-01-09T00:00:00"/>
        <d v="2020-06-18T00:00:00"/>
        <d v="2021-12-24T00:00:00"/>
        <d v="2020-09-21T00:00:00"/>
        <d v="2021-02-18T00:00:00"/>
        <d v="2020-05-11T00:00:00"/>
        <d v="2021-11-26T00:00:00"/>
        <d v="2021-01-17T00:00:00"/>
        <d v="2020-12-19T00:00:00"/>
        <d v="2020-09-06T00:00:00"/>
        <d v="2021-03-31T00:00:00"/>
        <d v="2021-02-07T00:00:00"/>
        <d v="2021-10-07T00:00:00"/>
        <d v="2021-05-31T00:00:00"/>
        <d v="2021-10-28T00:00:00"/>
        <d v="2020-10-22T00:00:00"/>
        <d v="2021-12-22T00:00:00"/>
        <d v="2020-07-05T00:00:00"/>
        <d v="2021-08-01T00:00:00"/>
        <d v="2021-02-06T00:00:00"/>
        <d v="2020-01-28T00:00:00"/>
        <d v="2020-04-19T00:00:00"/>
        <d v="2020-08-19T00:00:00"/>
        <d v="2020-08-09T00:00:00"/>
        <d v="2021-05-21T00:00:00"/>
        <d v="2021-10-01T00:00:00"/>
        <d v="2020-10-07T00:00:00"/>
        <d v="2021-12-12T00:00:00"/>
        <d v="2020-10-03T00:00:00"/>
        <d v="2020-09-09T00:00:00"/>
        <d v="2020-07-04T00:00:00"/>
        <d v="2020-10-08T00:00:00"/>
        <d v="2020-07-13T00:00:00"/>
        <d v="2020-08-06T00:00:00"/>
        <d v="2020-11-19T00:00:00"/>
        <d v="2020-12-10T00:00:00"/>
        <d v="2021-08-26T00:00:00"/>
        <d v="2020-04-16T00:00:00"/>
        <d v="2021-08-15T00:00:00"/>
        <d v="2021-08-19T00:00:00"/>
        <d v="2020-05-28T00:00:00"/>
        <d v="2021-11-15T00:00:00"/>
        <d v="2021-07-09T00:00:00"/>
        <d v="2021-11-19T00:00:00"/>
        <d v="2021-12-17T00:00:00"/>
        <d v="2021-12-02T00:00:00"/>
        <d v="2020-11-23T00:00:00"/>
        <d v="2020-10-04T00:00:00"/>
        <d v="2020-10-25T00:00:00"/>
        <d v="2020-08-20T00:00:00"/>
        <d v="2020-02-05T00:00:00"/>
        <d v="2020-02-12T00:00:00"/>
        <d v="2021-06-03T00:00:00"/>
        <d v="2020-08-24T00:00:00"/>
        <d v="2020-04-09T00:00:00"/>
        <d v="2021-12-13T00:00:00"/>
        <d v="2020-03-18T00:00:00"/>
        <d v="2020-08-17T00:00:00"/>
        <d v="2021-01-27T00:00:00"/>
        <d v="2021-02-05T00:00:00"/>
        <d v="2020-11-25T00:00:00"/>
        <d v="2020-11-28T00:00:00"/>
        <d v="2021-04-22T00:00:00"/>
        <d v="2020-11-08T00:00:00"/>
        <d v="2021-04-08T00:00:00"/>
        <d v="2021-11-11T00:00:00"/>
        <d v="2020-06-19T00:00:00"/>
        <d v="2020-09-19T00:00:00"/>
        <d v="2021-08-05T00:00:00"/>
        <d v="2020-08-21T00:00:00"/>
        <d v="2020-09-03T00:00:00"/>
        <d v="2020-09-17T00:00:00"/>
        <d v="2021-09-09T00:00:00"/>
        <d v="2020-07-29T00:00:00"/>
        <d v="2020-10-16T00:00:00"/>
        <d v="2020-11-30T00:00:00"/>
        <d v="2021-02-17T00:00:00"/>
        <d v="2021-06-25T00:00:00"/>
        <d v="2020-11-29T00:00:00"/>
        <d v="2021-02-19T00:00:00"/>
        <d v="2020-10-11T00:00:00"/>
        <d v="2021-12-23T00:00:00"/>
        <d v="2021-11-06T00:00:00"/>
        <d v="2021-07-01T00:00:00"/>
        <d v="2021-08-29T00:00:00"/>
        <d v="2020-02-20T00:00:00"/>
        <d v="2020-07-24T00:00:00"/>
        <d v="2021-07-17T00:00:00"/>
        <d v="2020-12-28T00:00:00"/>
        <d v="2020-10-29T00:00:00"/>
        <d v="2021-09-18T00:00:00"/>
        <d v="2021-01-18T00:00:00"/>
        <d v="2020-02-08T00:00:00"/>
        <d v="2021-08-12T00:00:00"/>
        <d v="2021-04-12T00:00:00"/>
        <d v="2020-12-27T00:00:00"/>
        <d v="2020-02-19T00:00:00"/>
        <d v="2020-07-23T00:00:00"/>
        <d v="2020-06-13T00:00:00"/>
        <d v="2020-03-13T00:00:00"/>
        <d v="2020-10-02T00:00:00"/>
        <d v="2020-05-24T00:00:00"/>
        <d v="2020-02-06T00:00:00"/>
        <d v="2020-11-26T00:00:00"/>
        <d v="2020-11-04T00:00:00"/>
        <d v="2021-01-25T00:00:00"/>
        <d v="2020-10-31T00:00:00"/>
        <d v="2020-04-11T00:00:00"/>
        <d v="2020-05-02T00:00:00"/>
        <d v="2021-03-03T00:00:00"/>
        <d v="2021-04-23T00:00:00"/>
        <d v="2021-10-03T00:00:00"/>
        <d v="2021-11-08T00:00:00"/>
        <d v="2021-07-23T00:00:00"/>
        <d v="2020-11-01T00:00:00"/>
        <d v="2021-02-20T00:00:00"/>
        <d v="2021-01-29T00:00:00"/>
        <d v="2020-06-03T00:00:00"/>
        <d v="2021-11-24T00:00:00"/>
        <d v="2020-02-16T00:00:00"/>
        <d v="2021-06-30T00:00:00"/>
        <d v="2021-03-14T00:00:00"/>
        <d v="2020-12-18T00:00:00"/>
        <d v="2020-05-13T00:00:00"/>
        <d v="2021-12-01T00:00:00"/>
        <d v="2021-04-10T00:00:00"/>
        <d v="2020-09-14T00:00:00"/>
        <d v="2020-12-11T00:00:00"/>
        <d v="2021-01-21T00:00:00"/>
        <d v="2020-08-30T00:00:00"/>
        <d v="2021-05-23T00:00:00"/>
        <d v="2021-12-11T00:00:00"/>
        <d v="2021-12-04T00:00:00"/>
        <d v="2020-12-20T00:00:00"/>
        <d v="2021-09-06T00:00:00"/>
        <d v="2021-02-25T00:00:00"/>
        <d v="2021-11-12T00:00:00"/>
        <d v="2021-08-13T00:00:00"/>
        <d v="2021-04-04T00:00:00"/>
        <d v="2020-05-18T00:00:00"/>
        <d v="2020-12-06T00:00:00"/>
        <d v="2020-04-15T00:00:00"/>
        <d v="2021-03-29T00:00:00"/>
        <d v="2020-01-16T00:00:00"/>
        <d v="2021-11-05T00:00:00"/>
        <d v="2021-01-14T00:00:00"/>
        <d v="2021-04-26T00:00:00"/>
        <d v="2021-03-04T00:00:00"/>
        <d v="2021-01-01T00:00:00"/>
        <d v="2020-12-21T00:00:00"/>
        <d v="2020-08-01T00:00:00"/>
        <d v="2021-01-22T00:00:00"/>
        <d v="2021-05-24T00:00:00"/>
        <d v="2021-08-22T00:00:00"/>
        <d v="2020-08-26T00:00:00"/>
        <d v="2021-11-25T00:00:00"/>
        <d v="2020-04-04T00:00:00"/>
        <d v="2021-06-10T00:00:00"/>
        <d v="2020-01-30T00:00:00"/>
        <d v="2021-05-15T00:00:00"/>
        <d v="2021-02-22T00:00:00"/>
        <d v="2021-12-06T00:00:00"/>
        <d v="2021-01-31T00:00:00"/>
        <d v="2020-06-04T00:00:00"/>
        <d v="2021-05-06T00:00:00"/>
        <d v="2020-02-27T00:00:00"/>
        <d v="2020-02-15T00:00:00"/>
        <d v="2020-01-22T00:00:00"/>
        <d v="2021-01-24T00:00:00"/>
        <d v="2020-07-16T00:00:00"/>
        <d v="2020-04-06T00:00:00"/>
        <d v="2021-08-30T00:00:00"/>
        <d v="2020-01-15T00:00:00"/>
        <d v="2020-07-20T00:00:00"/>
        <d v="2020-11-05T00:00:00"/>
        <d v="2020-07-09T00:00:00"/>
        <d v="2021-05-19T00:00:00"/>
        <d v="2021-10-08T00:00:00"/>
        <d v="2021-01-07T00:00:00"/>
        <d v="2020-04-10T00:00:00"/>
        <d v="2021-07-05T00:00:00"/>
        <d v="2021-05-17T00:00:00"/>
        <d v="2021-02-27T00:00:00"/>
        <d v="2021-11-03T00:00:00"/>
        <d v="2020-06-25T00:00:00"/>
        <d v="2020-06-27T00:00:00"/>
        <d v="2020-11-22T00:00:00"/>
        <d v="2020-02-01T00:00:00"/>
        <d v="2020-07-25T00:00:00"/>
        <d v="2021-03-07T00:00:00"/>
        <d v="2020-10-15T00:00:00"/>
        <d v="2021-03-19T00:00:00"/>
        <d v="2021-05-20T00:00:00"/>
        <d v="2020-04-23T00:00:00"/>
        <d v="2021-12-09T00:00:00"/>
        <d v="2021-01-28T00:00:00"/>
        <d v="2021-04-15T00:00:00"/>
        <d v="2021-07-15T00:00:00"/>
        <d v="2020-03-19T00:00:00"/>
        <d v="2021-07-12T00:00:00"/>
        <d v="2021-06-28T00:00:00"/>
        <d v="2021-11-14T00:00:00"/>
        <d v="2021-06-26T00:00:00"/>
        <d v="2020-05-27T00:00:00"/>
        <d v="2021-11-18T00:00:00"/>
        <d v="2021-10-27T00:00:00"/>
        <d v="2021-04-30T00:00:00"/>
        <d v="2020-12-17T00:00:00"/>
        <d v="2021-10-10T00:00:00"/>
        <d v="2021-01-10T00:00:00"/>
        <d v="2020-01-31T00:00:00"/>
        <d v="2021-05-27T00:00:00"/>
        <d v="2020-05-07T00:00:00"/>
        <d v="2021-11-27T00:00:00"/>
        <d v="2021-05-05T00:00:00"/>
        <d v="2021-07-16T00:00:00"/>
        <d v="2020-03-23T00:00:00"/>
        <d v="2021-11-04T00:00:00"/>
        <d v="2020-09-20T00:00:00"/>
        <d v="2020-03-05T00:00:00"/>
        <d v="2020-06-06T00:00:00"/>
        <d v="2021-08-09T00:00:00"/>
        <d v="2021-05-01T00:00:00"/>
        <d v="2021-12-16T00:00:00"/>
        <d v="2021-07-07T00:00:00"/>
        <d v="2020-03-12T00:00:00"/>
        <d v="2021-09-04T00:00:00"/>
        <d v="2021-08-02T00:00:00"/>
        <d v="2020-05-15T00:00:00"/>
        <d v="2020-04-18T00:00:00"/>
        <d v="2021-01-13T00:00:00"/>
        <d v="2020-05-01T00:00:00"/>
        <d v="2020-05-20T00:00:00"/>
        <d v="2021-09-25T00:00:00"/>
        <d v="2020-06-12T00:00:00"/>
        <d v="2021-04-25T00:00:00"/>
        <d v="2021-07-11T00:00:00"/>
        <d v="2021-12-25T00:00:00"/>
        <d v="2020-01-07T00:00:00"/>
        <d v="2020-09-27T00:00:00"/>
        <d v="2020-08-22T00:00:00"/>
        <d v="2020-02-23T00:00:00"/>
        <d v="2021-06-27T00:00:00"/>
        <d v="2021-11-21T00:00:00"/>
        <d v="2021-12-10T00:00:00"/>
        <d v="2020-03-04T00:00:00"/>
        <d v="2021-08-28T00:00:00"/>
        <d v="2020-08-12T00:00:00"/>
        <d v="2020-10-30T00:00:00"/>
        <d v="2021-02-24T00:00:00"/>
        <d v="2021-06-21T00:00:00"/>
        <d v="2020-05-25T00:00:00"/>
        <d v="2020-06-15T00:00:00"/>
        <d v="2020-09-30T00:00:00"/>
        <d v="2021-11-22T00:00:00"/>
        <d v="2020-04-30T00:00:00"/>
        <d v="2021-10-24T00:00:00"/>
        <d v="2021-12-30T00:00:00"/>
        <d v="2021-08-27T00:00:00"/>
        <d v="2020-01-24T00:00:00"/>
        <d v="2020-06-26T00:00:00"/>
        <d v="2020-02-22T00:00:00"/>
        <d v="2020-12-04T00:00:00"/>
        <d v="2020-06-10T00:00:00"/>
        <d v="2021-09-29T00:00:00"/>
        <d v="2020-01-17T00:00:00"/>
        <d v="2021-04-29T00:00:00"/>
        <d v="2020-04-26T00:00:00"/>
        <d v="2021-03-25T00:00:00"/>
        <d v="2020-02-09T00:00:00"/>
        <d v="2020-08-13T00:00:00"/>
        <d v="2021-03-22T00:00:00"/>
        <d v="2020-06-22T00:00:00"/>
        <d v="2021-02-04T00:00:00"/>
        <d v="2020-05-10T00:00:00"/>
        <d v="2021-06-09T00:00:00"/>
        <d v="2021-12-05T00:00:00"/>
        <d v="2020-04-13T00:00:00"/>
        <d v="2020-12-16T00:00:00"/>
        <d v="2020-05-08T00:00:00"/>
        <d v="2021-05-13T00:00:00"/>
        <d v="2021-04-18T00:00:00"/>
        <d v="2021-07-10T00:00:00"/>
        <d v="2020-01-10T00:00:00"/>
        <d v="2020-09-24T00:00:00"/>
        <d v="2020-06-14T00:00:00"/>
        <d v="2020-05-14T00:00:00"/>
        <d v="2021-01-11T00:00:00"/>
        <d v="2020-05-21T00:00:00"/>
        <d v="2021-05-12T00:00:00"/>
        <d v="2021-10-06T00:00:00"/>
        <d v="2020-07-18T00:00:00"/>
        <d v="2021-09-30T00:00:00"/>
        <d v="2020-07-12T00:00:00"/>
        <d v="2021-11-01T00:00:00"/>
        <d v="2020-09-12T00:00:00"/>
        <d v="2020-03-09T00:00:00"/>
        <d v="2020-10-21T00:00:00"/>
        <d v="2021-07-28T00:00:00"/>
        <d v="2021-05-26T00:00:00"/>
        <d v="2020-08-29T00:00:00"/>
        <d v="2020-01-06T00:00:00"/>
        <d v="2020-03-08T00:00:00"/>
        <d v="2021-10-20T00:00:00"/>
        <d v="2020-03-27T00:00:00"/>
        <d v="2021-05-29T00:00:00"/>
        <d v="2021-03-27T00:00:00"/>
        <d v="2020-02-11T00:00:00"/>
        <d v="2020-08-14T00:00:00"/>
        <d v="2021-06-17T00:00:00"/>
        <d v="2020-09-26T00:00:00"/>
        <d v="2021-01-02T00:00:00"/>
        <d v="2020-04-05T00:00:00"/>
        <d v="2021-06-13T00:00:00"/>
        <d v="2021-09-17T00:00:00"/>
        <d v="2020-09-04T00:00:00"/>
        <d v="2020-10-28T00:00:00"/>
        <d v="2020-07-30T00:00:00"/>
        <d v="2020-08-07T00:00:00"/>
        <d v="2021-01-08T00:00:00"/>
        <d v="2021-06-24T00:00:00"/>
        <d v="2021-06-02T00:00:00"/>
        <d v="2021-03-18T00:00:00"/>
        <d v="2020-12-03T00:00:00"/>
        <d v="2021-08-07T00:00:00"/>
        <d v="2020-04-22T00:00:00"/>
        <d v="2021-10-02T00:00:00"/>
        <d v="2021-04-24T00:00:00"/>
        <d v="2020-12-14T00:00:00"/>
        <d v="2020-07-17T00:00:00"/>
        <d v="2020-12-05T00:00:00"/>
        <d v="2021-01-16T00:00:00"/>
        <d v="2020-10-14T00:00:00"/>
        <d v="2021-07-29T00:00:00"/>
        <d v="2020-04-20T00:00:00"/>
        <d v="2021-09-03T00:00:00"/>
        <d v="2020-01-11T00:00:00"/>
        <d v="2020-09-28T00:00:00"/>
        <d v="2020-02-02T00:00:00"/>
        <d v="2020-11-16T00:00:00"/>
        <d v="2021-05-07T00:00:00"/>
        <d v="2020-03-16T00:00:00"/>
        <d v="2021-09-02T00:00:00"/>
        <d v="2021-08-08T00:00:00"/>
        <d v="2020-10-23T00:00:00"/>
        <d v="2021-09-24T00:00:00"/>
        <d v="2021-04-07T00:00:00"/>
        <d v="2021-04-03T00:00:00"/>
        <d v="2020-04-02T00:00:00"/>
        <d v="2021-05-02T00:00:00"/>
        <d v="2021-05-30T00:00:00"/>
        <d v="2021-06-06T00:00:00"/>
        <d v="2020-02-28T00:00:00"/>
        <d v="2021-08-25T00:00:00"/>
        <d v="2020-09-10T00:00:00"/>
        <d v="2020-12-23T00:00:00"/>
        <d v="2020-08-27T00:00:00"/>
        <d v="2021-07-26T00:00:00"/>
        <d v="2020-03-20T00:00:00"/>
        <d v="2020-03-14T00:00:00"/>
        <d v="2020-09-05T00:00:00"/>
        <d v="2021-07-18T00:00:00"/>
        <d v="2021-06-12T00:00:00"/>
        <d v="2021-07-31T00:00:00"/>
        <d v="2021-07-03T00:00:00"/>
        <d v="2021-11-13T00:00:00"/>
        <d v="2021-04-28T00:00:00"/>
        <d v="2021-07-02T00:00:00"/>
        <d v="2021-03-11T00:00:00"/>
        <d v="2020-08-02T00:00:00"/>
        <d v="2020-10-26T00:00:00"/>
        <d v="2021-10-09T00:00:00"/>
        <d v="2020-08-05T00:00:00"/>
        <d v="2020-07-19T00:00:00"/>
        <d v="2020-06-11T00:00:00"/>
        <d v="2020-04-29T00:00:00"/>
        <d v="2020-03-30T00:00:00"/>
        <d v="2020-03-29T00:00:00"/>
        <d v="2020-08-23T00:00:00"/>
        <d v="2020-04-24T00:00:00"/>
        <d v="2021-07-24T00:00:00"/>
        <d v="2020-05-31T00:00:00"/>
        <d v="2021-11-07T00:00:00"/>
        <d v="2020-05-23T00:00:00"/>
        <d v="2021-10-14T00:00:00"/>
        <d v="2020-07-27T00:00:00"/>
        <d v="2021-09-26T00:00:00"/>
        <d v="2021-04-16T00:00:00"/>
        <d v="2021-02-01T00:00:00"/>
        <d v="2021-08-23T00:00:00"/>
        <d v="2020-07-26T00:00:00"/>
        <d v="2020-11-15T00:00:00"/>
        <d v="2021-11-20T00:00:00"/>
        <d v="2020-10-01T00:00:00"/>
        <d v="2021-04-09T00:00:00"/>
        <d v="2020-11-02T00:00:00"/>
        <d v="2021-10-18T00:00:00"/>
        <d v="2020-03-26T00:00:00"/>
        <d v="2020-07-11T00:00:00"/>
        <d v="2021-12-15T00:00:00"/>
        <d v="2020-12-02T00:00:00"/>
        <d v="2021-09-05T00:00:00"/>
        <d v="2020-06-07T00:00:00"/>
        <d v="2020-02-21T00:00:00"/>
        <d v="2020-05-17T00:00:00"/>
        <d v="2021-08-04T00:00:00"/>
        <d v="2020-01-23T00:00:00"/>
        <d v="2020-12-09T00:00:00"/>
        <d v="2020-08-16T00:00:00"/>
      </sharedItems>
    </cacheField>
    <cacheField name="الثمن" numFmtId="43">
      <sharedItems containsSemiMixedTypes="0" containsString="0" containsNumber="1" minValue="79.989999999999995" maxValue="799.95"/>
    </cacheField>
    <cacheField name="عدد المنتجات" numFmtId="164">
      <sharedItems containsSemiMixedTypes="0" containsString="0" containsNumber="1" containsInteger="1" minValue="1" maxValue="20" count="20">
        <n v="12"/>
        <n v="3"/>
        <n v="13"/>
        <n v="4"/>
        <n v="6"/>
        <n v="9"/>
        <n v="11"/>
        <n v="20"/>
        <n v="8"/>
        <n v="18"/>
        <n v="14"/>
        <n v="19"/>
        <n v="1"/>
        <n v="16"/>
        <n v="10"/>
        <n v="2"/>
        <n v="7"/>
        <n v="15"/>
        <n v="5"/>
        <n v="17"/>
      </sharedItems>
    </cacheField>
    <cacheField name="الكلفة الاجمالية" numFmtId="43">
      <sharedItems containsSemiMixedTypes="0" containsString="0" containsNumber="1" minValue="79.989999999999995" maxValue="15999"/>
    </cacheField>
    <cacheField name="المنطقة2" numFmtId="0" databaseField="0">
      <fieldGroup base="2">
        <discretePr count="4">
          <x v="1"/>
          <x v="0"/>
          <x v="0"/>
          <x v="1"/>
        </discretePr>
        <groupItems count="2">
          <s v="Group1"/>
          <s v="Group2"/>
        </groupItems>
      </fieldGroup>
    </cacheField>
    <cacheField name="المنتج2" numFmtId="0" databaseField="0">
      <fieldGroup base="1">
        <discretePr count="5">
          <x v="3"/>
          <x v="3"/>
          <x v="0"/>
          <x v="1"/>
          <x v="2"/>
        </discretePr>
        <groupItems count="4">
          <s v="هاتف درجة عادية"/>
          <s v="هاتف درجة دنيا"/>
          <s v="مستلزمات"/>
          <s v="Group1"/>
        </groupItems>
      </fieldGroup>
    </cacheField>
    <cacheField name="البائع2" numFmtId="0" databaseField="0">
      <fieldGroup base="0">
        <discretePr count="12">
          <x v="0"/>
          <x v="1"/>
          <x v="2"/>
          <x v="3"/>
          <x v="4"/>
          <x v="10"/>
          <x v="10"/>
          <x v="5"/>
          <x v="6"/>
          <x v="7"/>
          <x v="8"/>
          <x v="9"/>
        </discretePr>
        <groupItems count="11">
          <s v="أحمد، عروج"/>
          <s v="ياسين، عمري"/>
          <s v="عبد الله، سبب"/>
          <s v="مولاي رشيد علوي"/>
          <s v="يدير نايت"/>
          <s v="زهرة، زهور"/>
          <s v="أمين، ماغ"/>
          <s v="يسرى، قديري"/>
          <s v="خالد، أحمام"/>
          <s v="مبروكة، مدين"/>
          <s v="Group1"/>
        </groupItems>
      </fieldGroup>
    </cacheField>
  </cacheFields>
  <extLst>
    <ext xmlns:x14="http://schemas.microsoft.com/office/spreadsheetml/2009/9/main" uri="{725AE2AE-9491-48be-B2B4-4EB974FC3084}">
      <x14:pivotCacheDefinition pivotCacheId="2564991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9">
  <r>
    <x v="0"/>
    <x v="0"/>
    <x v="0"/>
    <x v="0"/>
    <x v="0"/>
    <n v="340.95"/>
    <x v="0"/>
    <n v="4091.3999999999996"/>
  </r>
  <r>
    <x v="1"/>
    <x v="1"/>
    <x v="1"/>
    <x v="1"/>
    <x v="1"/>
    <n v="79.989999999999995"/>
    <x v="1"/>
    <n v="239.96999999999997"/>
  </r>
  <r>
    <x v="2"/>
    <x v="2"/>
    <x v="0"/>
    <x v="1"/>
    <x v="2"/>
    <n v="168.95"/>
    <x v="2"/>
    <n v="2196.35"/>
  </r>
  <r>
    <x v="3"/>
    <x v="3"/>
    <x v="2"/>
    <x v="1"/>
    <x v="3"/>
    <n v="340.95"/>
    <x v="3"/>
    <n v="1363.8"/>
  </r>
  <r>
    <x v="4"/>
    <x v="3"/>
    <x v="0"/>
    <x v="2"/>
    <x v="4"/>
    <n v="340.95"/>
    <x v="4"/>
    <n v="2045.6999999999998"/>
  </r>
  <r>
    <x v="3"/>
    <x v="2"/>
    <x v="1"/>
    <x v="1"/>
    <x v="5"/>
    <n v="168.95"/>
    <x v="0"/>
    <n v="2027.3999999999999"/>
  </r>
  <r>
    <x v="1"/>
    <x v="2"/>
    <x v="1"/>
    <x v="3"/>
    <x v="6"/>
    <n v="168.95"/>
    <x v="3"/>
    <n v="675.8"/>
  </r>
  <r>
    <x v="5"/>
    <x v="0"/>
    <x v="3"/>
    <x v="2"/>
    <x v="7"/>
    <n v="340.95"/>
    <x v="2"/>
    <n v="4432.3499999999995"/>
  </r>
  <r>
    <x v="1"/>
    <x v="0"/>
    <x v="1"/>
    <x v="4"/>
    <x v="8"/>
    <n v="340.95"/>
    <x v="3"/>
    <n v="1363.8"/>
  </r>
  <r>
    <x v="6"/>
    <x v="2"/>
    <x v="3"/>
    <x v="3"/>
    <x v="9"/>
    <n v="168.95"/>
    <x v="5"/>
    <n v="1520.55"/>
  </r>
  <r>
    <x v="4"/>
    <x v="4"/>
    <x v="0"/>
    <x v="1"/>
    <x v="10"/>
    <n v="799.95"/>
    <x v="6"/>
    <n v="8799.4500000000007"/>
  </r>
  <r>
    <x v="7"/>
    <x v="4"/>
    <x v="1"/>
    <x v="1"/>
    <x v="11"/>
    <n v="799.95"/>
    <x v="5"/>
    <n v="7199.55"/>
  </r>
  <r>
    <x v="8"/>
    <x v="4"/>
    <x v="2"/>
    <x v="0"/>
    <x v="12"/>
    <n v="799.95"/>
    <x v="7"/>
    <n v="15999"/>
  </r>
  <r>
    <x v="7"/>
    <x v="0"/>
    <x v="1"/>
    <x v="0"/>
    <x v="13"/>
    <n v="340.95"/>
    <x v="8"/>
    <n v="2727.6"/>
  </r>
  <r>
    <x v="7"/>
    <x v="1"/>
    <x v="1"/>
    <x v="4"/>
    <x v="14"/>
    <n v="79.989999999999995"/>
    <x v="6"/>
    <n v="879.89"/>
  </r>
  <r>
    <x v="1"/>
    <x v="3"/>
    <x v="1"/>
    <x v="1"/>
    <x v="15"/>
    <n v="340.95"/>
    <x v="3"/>
    <n v="1363.8"/>
  </r>
  <r>
    <x v="7"/>
    <x v="3"/>
    <x v="1"/>
    <x v="4"/>
    <x v="16"/>
    <n v="340.95"/>
    <x v="1"/>
    <n v="1022.8499999999999"/>
  </r>
  <r>
    <x v="8"/>
    <x v="0"/>
    <x v="2"/>
    <x v="0"/>
    <x v="17"/>
    <n v="340.95"/>
    <x v="9"/>
    <n v="6137.0999999999995"/>
  </r>
  <r>
    <x v="3"/>
    <x v="0"/>
    <x v="1"/>
    <x v="2"/>
    <x v="18"/>
    <n v="340.95"/>
    <x v="2"/>
    <n v="4432.3499999999995"/>
  </r>
  <r>
    <x v="9"/>
    <x v="2"/>
    <x v="0"/>
    <x v="2"/>
    <x v="19"/>
    <n v="168.95"/>
    <x v="10"/>
    <n v="2365.2999999999997"/>
  </r>
  <r>
    <x v="2"/>
    <x v="1"/>
    <x v="0"/>
    <x v="3"/>
    <x v="20"/>
    <n v="79.989999999999995"/>
    <x v="0"/>
    <n v="959.87999999999988"/>
  </r>
  <r>
    <x v="6"/>
    <x v="2"/>
    <x v="3"/>
    <x v="3"/>
    <x v="21"/>
    <n v="168.95"/>
    <x v="1"/>
    <n v="506.84999999999997"/>
  </r>
  <r>
    <x v="2"/>
    <x v="2"/>
    <x v="0"/>
    <x v="0"/>
    <x v="22"/>
    <n v="168.95"/>
    <x v="11"/>
    <n v="3210.0499999999997"/>
  </r>
  <r>
    <x v="4"/>
    <x v="0"/>
    <x v="0"/>
    <x v="2"/>
    <x v="23"/>
    <n v="340.95"/>
    <x v="12"/>
    <n v="340.95"/>
  </r>
  <r>
    <x v="1"/>
    <x v="3"/>
    <x v="1"/>
    <x v="4"/>
    <x v="24"/>
    <n v="340.95"/>
    <x v="1"/>
    <n v="1022.8499999999999"/>
  </r>
  <r>
    <x v="3"/>
    <x v="4"/>
    <x v="1"/>
    <x v="4"/>
    <x v="25"/>
    <n v="799.95"/>
    <x v="6"/>
    <n v="8799.4500000000007"/>
  </r>
  <r>
    <x v="5"/>
    <x v="3"/>
    <x v="3"/>
    <x v="0"/>
    <x v="26"/>
    <n v="340.95"/>
    <x v="13"/>
    <n v="5455.2"/>
  </r>
  <r>
    <x v="8"/>
    <x v="3"/>
    <x v="2"/>
    <x v="1"/>
    <x v="27"/>
    <n v="340.95"/>
    <x v="12"/>
    <n v="340.95"/>
  </r>
  <r>
    <x v="10"/>
    <x v="0"/>
    <x v="1"/>
    <x v="4"/>
    <x v="28"/>
    <n v="340.95"/>
    <x v="6"/>
    <n v="3750.45"/>
  </r>
  <r>
    <x v="5"/>
    <x v="0"/>
    <x v="3"/>
    <x v="3"/>
    <x v="29"/>
    <n v="340.95"/>
    <x v="0"/>
    <n v="4091.3999999999996"/>
  </r>
  <r>
    <x v="0"/>
    <x v="1"/>
    <x v="0"/>
    <x v="1"/>
    <x v="30"/>
    <n v="79.989999999999995"/>
    <x v="10"/>
    <n v="1119.8599999999999"/>
  </r>
  <r>
    <x v="6"/>
    <x v="3"/>
    <x v="3"/>
    <x v="2"/>
    <x v="31"/>
    <n v="340.95"/>
    <x v="3"/>
    <n v="1363.8"/>
  </r>
  <r>
    <x v="11"/>
    <x v="2"/>
    <x v="2"/>
    <x v="4"/>
    <x v="17"/>
    <n v="168.95"/>
    <x v="12"/>
    <n v="168.95"/>
  </r>
  <r>
    <x v="9"/>
    <x v="3"/>
    <x v="0"/>
    <x v="2"/>
    <x v="32"/>
    <n v="340.95"/>
    <x v="3"/>
    <n v="1363.8"/>
  </r>
  <r>
    <x v="11"/>
    <x v="2"/>
    <x v="2"/>
    <x v="3"/>
    <x v="33"/>
    <n v="168.95"/>
    <x v="14"/>
    <n v="1689.5"/>
  </r>
  <r>
    <x v="3"/>
    <x v="1"/>
    <x v="1"/>
    <x v="3"/>
    <x v="34"/>
    <n v="79.989999999999995"/>
    <x v="2"/>
    <n v="1039.8699999999999"/>
  </r>
  <r>
    <x v="6"/>
    <x v="0"/>
    <x v="3"/>
    <x v="1"/>
    <x v="24"/>
    <n v="340.95"/>
    <x v="8"/>
    <n v="2727.6"/>
  </r>
  <r>
    <x v="2"/>
    <x v="2"/>
    <x v="0"/>
    <x v="3"/>
    <x v="35"/>
    <n v="168.95"/>
    <x v="15"/>
    <n v="337.9"/>
  </r>
  <r>
    <x v="0"/>
    <x v="0"/>
    <x v="0"/>
    <x v="3"/>
    <x v="36"/>
    <n v="340.95"/>
    <x v="8"/>
    <n v="2727.6"/>
  </r>
  <r>
    <x v="8"/>
    <x v="1"/>
    <x v="2"/>
    <x v="0"/>
    <x v="37"/>
    <n v="79.989999999999995"/>
    <x v="8"/>
    <n v="639.91999999999996"/>
  </r>
  <r>
    <x v="1"/>
    <x v="0"/>
    <x v="1"/>
    <x v="2"/>
    <x v="38"/>
    <n v="340.95"/>
    <x v="16"/>
    <n v="2386.65"/>
  </r>
  <r>
    <x v="8"/>
    <x v="2"/>
    <x v="2"/>
    <x v="1"/>
    <x v="39"/>
    <n v="168.95"/>
    <x v="12"/>
    <n v="168.95"/>
  </r>
  <r>
    <x v="0"/>
    <x v="0"/>
    <x v="0"/>
    <x v="3"/>
    <x v="40"/>
    <n v="340.95"/>
    <x v="6"/>
    <n v="3750.45"/>
  </r>
  <r>
    <x v="7"/>
    <x v="2"/>
    <x v="1"/>
    <x v="3"/>
    <x v="41"/>
    <n v="168.95"/>
    <x v="5"/>
    <n v="1520.55"/>
  </r>
  <r>
    <x v="11"/>
    <x v="3"/>
    <x v="2"/>
    <x v="3"/>
    <x v="23"/>
    <n v="340.95"/>
    <x v="3"/>
    <n v="1363.8"/>
  </r>
  <r>
    <x v="5"/>
    <x v="0"/>
    <x v="3"/>
    <x v="1"/>
    <x v="42"/>
    <n v="340.95"/>
    <x v="0"/>
    <n v="4091.3999999999996"/>
  </r>
  <r>
    <x v="2"/>
    <x v="4"/>
    <x v="0"/>
    <x v="3"/>
    <x v="43"/>
    <n v="799.95"/>
    <x v="14"/>
    <n v="7999.5"/>
  </r>
  <r>
    <x v="11"/>
    <x v="0"/>
    <x v="2"/>
    <x v="2"/>
    <x v="44"/>
    <n v="340.95"/>
    <x v="17"/>
    <n v="5114.25"/>
  </r>
  <r>
    <x v="3"/>
    <x v="4"/>
    <x v="1"/>
    <x v="1"/>
    <x v="45"/>
    <n v="799.95"/>
    <x v="4"/>
    <n v="4799.7000000000007"/>
  </r>
  <r>
    <x v="0"/>
    <x v="1"/>
    <x v="0"/>
    <x v="1"/>
    <x v="2"/>
    <n v="79.989999999999995"/>
    <x v="8"/>
    <n v="639.91999999999996"/>
  </r>
  <r>
    <x v="1"/>
    <x v="2"/>
    <x v="1"/>
    <x v="1"/>
    <x v="46"/>
    <n v="168.95"/>
    <x v="12"/>
    <n v="168.95"/>
  </r>
  <r>
    <x v="7"/>
    <x v="3"/>
    <x v="1"/>
    <x v="2"/>
    <x v="47"/>
    <n v="340.95"/>
    <x v="15"/>
    <n v="681.9"/>
  </r>
  <r>
    <x v="8"/>
    <x v="4"/>
    <x v="2"/>
    <x v="2"/>
    <x v="48"/>
    <n v="799.95"/>
    <x v="10"/>
    <n v="11199.300000000001"/>
  </r>
  <r>
    <x v="7"/>
    <x v="3"/>
    <x v="1"/>
    <x v="4"/>
    <x v="49"/>
    <n v="340.95"/>
    <x v="12"/>
    <n v="340.95"/>
  </r>
  <r>
    <x v="11"/>
    <x v="2"/>
    <x v="2"/>
    <x v="1"/>
    <x v="50"/>
    <n v="168.95"/>
    <x v="10"/>
    <n v="2365.2999999999997"/>
  </r>
  <r>
    <x v="3"/>
    <x v="4"/>
    <x v="1"/>
    <x v="1"/>
    <x v="51"/>
    <n v="799.95"/>
    <x v="4"/>
    <n v="4799.7000000000007"/>
  </r>
  <r>
    <x v="2"/>
    <x v="2"/>
    <x v="0"/>
    <x v="3"/>
    <x v="52"/>
    <n v="168.95"/>
    <x v="12"/>
    <n v="168.95"/>
  </r>
  <r>
    <x v="2"/>
    <x v="0"/>
    <x v="0"/>
    <x v="0"/>
    <x v="53"/>
    <n v="340.95"/>
    <x v="7"/>
    <n v="6819"/>
  </r>
  <r>
    <x v="8"/>
    <x v="1"/>
    <x v="2"/>
    <x v="1"/>
    <x v="54"/>
    <n v="79.989999999999995"/>
    <x v="8"/>
    <n v="639.91999999999996"/>
  </r>
  <r>
    <x v="5"/>
    <x v="4"/>
    <x v="3"/>
    <x v="1"/>
    <x v="55"/>
    <n v="799.95"/>
    <x v="18"/>
    <n v="3999.75"/>
  </r>
  <r>
    <x v="11"/>
    <x v="3"/>
    <x v="2"/>
    <x v="0"/>
    <x v="56"/>
    <n v="340.95"/>
    <x v="0"/>
    <n v="4091.3999999999996"/>
  </r>
  <r>
    <x v="11"/>
    <x v="4"/>
    <x v="2"/>
    <x v="1"/>
    <x v="57"/>
    <n v="799.95"/>
    <x v="15"/>
    <n v="1599.9"/>
  </r>
  <r>
    <x v="8"/>
    <x v="1"/>
    <x v="2"/>
    <x v="2"/>
    <x v="58"/>
    <n v="79.989999999999995"/>
    <x v="5"/>
    <n v="719.91"/>
  </r>
  <r>
    <x v="8"/>
    <x v="1"/>
    <x v="2"/>
    <x v="4"/>
    <x v="59"/>
    <n v="79.989999999999995"/>
    <x v="1"/>
    <n v="239.96999999999997"/>
  </r>
  <r>
    <x v="11"/>
    <x v="0"/>
    <x v="2"/>
    <x v="0"/>
    <x v="60"/>
    <n v="340.95"/>
    <x v="16"/>
    <n v="2386.65"/>
  </r>
  <r>
    <x v="7"/>
    <x v="1"/>
    <x v="1"/>
    <x v="1"/>
    <x v="61"/>
    <n v="79.989999999999995"/>
    <x v="8"/>
    <n v="639.91999999999996"/>
  </r>
  <r>
    <x v="3"/>
    <x v="4"/>
    <x v="1"/>
    <x v="3"/>
    <x v="62"/>
    <n v="799.95"/>
    <x v="12"/>
    <n v="799.95"/>
  </r>
  <r>
    <x v="6"/>
    <x v="0"/>
    <x v="3"/>
    <x v="3"/>
    <x v="63"/>
    <n v="340.95"/>
    <x v="10"/>
    <n v="4773.3"/>
  </r>
  <r>
    <x v="4"/>
    <x v="2"/>
    <x v="0"/>
    <x v="1"/>
    <x v="64"/>
    <n v="168.95"/>
    <x v="4"/>
    <n v="1013.6999999999999"/>
  </r>
  <r>
    <x v="8"/>
    <x v="4"/>
    <x v="2"/>
    <x v="4"/>
    <x v="65"/>
    <n v="799.95"/>
    <x v="3"/>
    <n v="3199.8"/>
  </r>
  <r>
    <x v="4"/>
    <x v="2"/>
    <x v="0"/>
    <x v="0"/>
    <x v="66"/>
    <n v="168.95"/>
    <x v="9"/>
    <n v="3041.1"/>
  </r>
  <r>
    <x v="5"/>
    <x v="2"/>
    <x v="3"/>
    <x v="3"/>
    <x v="67"/>
    <n v="168.95"/>
    <x v="0"/>
    <n v="2027.3999999999999"/>
  </r>
  <r>
    <x v="0"/>
    <x v="1"/>
    <x v="0"/>
    <x v="3"/>
    <x v="26"/>
    <n v="79.989999999999995"/>
    <x v="2"/>
    <n v="1039.8699999999999"/>
  </r>
  <r>
    <x v="1"/>
    <x v="1"/>
    <x v="1"/>
    <x v="0"/>
    <x v="68"/>
    <n v="79.989999999999995"/>
    <x v="7"/>
    <n v="1599.8"/>
  </r>
  <r>
    <x v="1"/>
    <x v="4"/>
    <x v="1"/>
    <x v="2"/>
    <x v="69"/>
    <n v="799.95"/>
    <x v="3"/>
    <n v="3199.8"/>
  </r>
  <r>
    <x v="2"/>
    <x v="3"/>
    <x v="0"/>
    <x v="1"/>
    <x v="70"/>
    <n v="340.95"/>
    <x v="10"/>
    <n v="4773.3"/>
  </r>
  <r>
    <x v="6"/>
    <x v="0"/>
    <x v="3"/>
    <x v="4"/>
    <x v="56"/>
    <n v="340.95"/>
    <x v="0"/>
    <n v="4091.3999999999996"/>
  </r>
  <r>
    <x v="6"/>
    <x v="3"/>
    <x v="3"/>
    <x v="2"/>
    <x v="71"/>
    <n v="340.95"/>
    <x v="16"/>
    <n v="2386.65"/>
  </r>
  <r>
    <x v="5"/>
    <x v="4"/>
    <x v="3"/>
    <x v="1"/>
    <x v="72"/>
    <n v="799.95"/>
    <x v="1"/>
    <n v="2399.8500000000004"/>
  </r>
  <r>
    <x v="7"/>
    <x v="0"/>
    <x v="1"/>
    <x v="0"/>
    <x v="73"/>
    <n v="340.95"/>
    <x v="16"/>
    <n v="2386.65"/>
  </r>
  <r>
    <x v="10"/>
    <x v="2"/>
    <x v="1"/>
    <x v="4"/>
    <x v="74"/>
    <n v="168.95"/>
    <x v="18"/>
    <n v="844.75"/>
  </r>
  <r>
    <x v="0"/>
    <x v="1"/>
    <x v="0"/>
    <x v="2"/>
    <x v="75"/>
    <n v="79.989999999999995"/>
    <x v="14"/>
    <n v="799.9"/>
  </r>
  <r>
    <x v="4"/>
    <x v="4"/>
    <x v="0"/>
    <x v="1"/>
    <x v="76"/>
    <n v="799.95"/>
    <x v="14"/>
    <n v="7999.5"/>
  </r>
  <r>
    <x v="11"/>
    <x v="4"/>
    <x v="2"/>
    <x v="0"/>
    <x v="77"/>
    <n v="799.95"/>
    <x v="16"/>
    <n v="5599.6500000000005"/>
  </r>
  <r>
    <x v="1"/>
    <x v="1"/>
    <x v="1"/>
    <x v="2"/>
    <x v="78"/>
    <n v="79.989999999999995"/>
    <x v="8"/>
    <n v="639.91999999999996"/>
  </r>
  <r>
    <x v="0"/>
    <x v="4"/>
    <x v="0"/>
    <x v="4"/>
    <x v="79"/>
    <n v="799.95"/>
    <x v="2"/>
    <n v="10399.35"/>
  </r>
  <r>
    <x v="7"/>
    <x v="0"/>
    <x v="1"/>
    <x v="0"/>
    <x v="69"/>
    <n v="340.95"/>
    <x v="16"/>
    <n v="2386.65"/>
  </r>
  <r>
    <x v="0"/>
    <x v="1"/>
    <x v="0"/>
    <x v="3"/>
    <x v="80"/>
    <n v="79.989999999999995"/>
    <x v="12"/>
    <n v="79.989999999999995"/>
  </r>
  <r>
    <x v="6"/>
    <x v="3"/>
    <x v="3"/>
    <x v="1"/>
    <x v="81"/>
    <n v="340.95"/>
    <x v="2"/>
    <n v="4432.3499999999995"/>
  </r>
  <r>
    <x v="5"/>
    <x v="3"/>
    <x v="3"/>
    <x v="0"/>
    <x v="82"/>
    <n v="340.95"/>
    <x v="4"/>
    <n v="2045.6999999999998"/>
  </r>
  <r>
    <x v="4"/>
    <x v="4"/>
    <x v="0"/>
    <x v="0"/>
    <x v="83"/>
    <n v="799.95"/>
    <x v="11"/>
    <n v="15199.050000000001"/>
  </r>
  <r>
    <x v="5"/>
    <x v="3"/>
    <x v="3"/>
    <x v="0"/>
    <x v="42"/>
    <n v="340.95"/>
    <x v="9"/>
    <n v="6137.0999999999995"/>
  </r>
  <r>
    <x v="9"/>
    <x v="2"/>
    <x v="0"/>
    <x v="0"/>
    <x v="80"/>
    <n v="168.95"/>
    <x v="4"/>
    <n v="1013.6999999999999"/>
  </r>
  <r>
    <x v="4"/>
    <x v="3"/>
    <x v="0"/>
    <x v="0"/>
    <x v="84"/>
    <n v="340.95"/>
    <x v="8"/>
    <n v="2727.6"/>
  </r>
  <r>
    <x v="4"/>
    <x v="0"/>
    <x v="0"/>
    <x v="3"/>
    <x v="85"/>
    <n v="340.95"/>
    <x v="5"/>
    <n v="3068.5499999999997"/>
  </r>
  <r>
    <x v="9"/>
    <x v="0"/>
    <x v="0"/>
    <x v="2"/>
    <x v="86"/>
    <n v="340.95"/>
    <x v="17"/>
    <n v="5114.25"/>
  </r>
  <r>
    <x v="6"/>
    <x v="2"/>
    <x v="3"/>
    <x v="4"/>
    <x v="87"/>
    <n v="168.95"/>
    <x v="4"/>
    <n v="1013.6999999999999"/>
  </r>
  <r>
    <x v="5"/>
    <x v="3"/>
    <x v="3"/>
    <x v="1"/>
    <x v="88"/>
    <n v="340.95"/>
    <x v="18"/>
    <n v="1704.75"/>
  </r>
  <r>
    <x v="8"/>
    <x v="2"/>
    <x v="2"/>
    <x v="2"/>
    <x v="89"/>
    <n v="168.95"/>
    <x v="8"/>
    <n v="1351.6"/>
  </r>
  <r>
    <x v="6"/>
    <x v="1"/>
    <x v="3"/>
    <x v="4"/>
    <x v="90"/>
    <n v="79.989999999999995"/>
    <x v="14"/>
    <n v="799.9"/>
  </r>
  <r>
    <x v="1"/>
    <x v="2"/>
    <x v="1"/>
    <x v="0"/>
    <x v="91"/>
    <n v="168.95"/>
    <x v="2"/>
    <n v="2196.35"/>
  </r>
  <r>
    <x v="4"/>
    <x v="4"/>
    <x v="0"/>
    <x v="1"/>
    <x v="92"/>
    <n v="799.95"/>
    <x v="14"/>
    <n v="7999.5"/>
  </r>
  <r>
    <x v="1"/>
    <x v="4"/>
    <x v="1"/>
    <x v="3"/>
    <x v="93"/>
    <n v="799.95"/>
    <x v="3"/>
    <n v="3199.8"/>
  </r>
  <r>
    <x v="0"/>
    <x v="0"/>
    <x v="0"/>
    <x v="4"/>
    <x v="94"/>
    <n v="340.95"/>
    <x v="6"/>
    <n v="3750.45"/>
  </r>
  <r>
    <x v="6"/>
    <x v="2"/>
    <x v="3"/>
    <x v="0"/>
    <x v="95"/>
    <n v="168.95"/>
    <x v="4"/>
    <n v="1013.6999999999999"/>
  </r>
  <r>
    <x v="1"/>
    <x v="1"/>
    <x v="1"/>
    <x v="3"/>
    <x v="96"/>
    <n v="79.989999999999995"/>
    <x v="5"/>
    <n v="719.91"/>
  </r>
  <r>
    <x v="9"/>
    <x v="2"/>
    <x v="0"/>
    <x v="3"/>
    <x v="41"/>
    <n v="168.95"/>
    <x v="4"/>
    <n v="1013.6999999999999"/>
  </r>
  <r>
    <x v="3"/>
    <x v="3"/>
    <x v="2"/>
    <x v="1"/>
    <x v="97"/>
    <n v="340.95"/>
    <x v="17"/>
    <n v="5114.25"/>
  </r>
  <r>
    <x v="11"/>
    <x v="2"/>
    <x v="2"/>
    <x v="1"/>
    <x v="98"/>
    <n v="168.95"/>
    <x v="6"/>
    <n v="1858.4499999999998"/>
  </r>
  <r>
    <x v="11"/>
    <x v="3"/>
    <x v="2"/>
    <x v="2"/>
    <x v="99"/>
    <n v="340.95"/>
    <x v="5"/>
    <n v="3068.5499999999997"/>
  </r>
  <r>
    <x v="8"/>
    <x v="4"/>
    <x v="2"/>
    <x v="2"/>
    <x v="100"/>
    <n v="799.95"/>
    <x v="15"/>
    <n v="1599.9"/>
  </r>
  <r>
    <x v="11"/>
    <x v="3"/>
    <x v="2"/>
    <x v="0"/>
    <x v="101"/>
    <n v="340.95"/>
    <x v="10"/>
    <n v="4773.3"/>
  </r>
  <r>
    <x v="4"/>
    <x v="2"/>
    <x v="0"/>
    <x v="3"/>
    <x v="10"/>
    <n v="168.95"/>
    <x v="10"/>
    <n v="2365.2999999999997"/>
  </r>
  <r>
    <x v="4"/>
    <x v="2"/>
    <x v="0"/>
    <x v="3"/>
    <x v="102"/>
    <n v="168.95"/>
    <x v="12"/>
    <n v="168.95"/>
  </r>
  <r>
    <x v="11"/>
    <x v="2"/>
    <x v="2"/>
    <x v="4"/>
    <x v="103"/>
    <n v="168.95"/>
    <x v="6"/>
    <n v="1858.4499999999998"/>
  </r>
  <r>
    <x v="9"/>
    <x v="2"/>
    <x v="0"/>
    <x v="0"/>
    <x v="26"/>
    <n v="168.95"/>
    <x v="6"/>
    <n v="1858.4499999999998"/>
  </r>
  <r>
    <x v="5"/>
    <x v="3"/>
    <x v="3"/>
    <x v="1"/>
    <x v="104"/>
    <n v="340.95"/>
    <x v="14"/>
    <n v="3409.5"/>
  </r>
  <r>
    <x v="10"/>
    <x v="2"/>
    <x v="1"/>
    <x v="4"/>
    <x v="55"/>
    <n v="168.95"/>
    <x v="15"/>
    <n v="337.9"/>
  </r>
  <r>
    <x v="6"/>
    <x v="1"/>
    <x v="3"/>
    <x v="1"/>
    <x v="105"/>
    <n v="79.989999999999995"/>
    <x v="12"/>
    <n v="79.989999999999995"/>
  </r>
  <r>
    <x v="1"/>
    <x v="4"/>
    <x v="1"/>
    <x v="3"/>
    <x v="27"/>
    <n v="799.95"/>
    <x v="12"/>
    <n v="799.95"/>
  </r>
  <r>
    <x v="1"/>
    <x v="4"/>
    <x v="1"/>
    <x v="0"/>
    <x v="106"/>
    <n v="799.95"/>
    <x v="11"/>
    <n v="15199.050000000001"/>
  </r>
  <r>
    <x v="0"/>
    <x v="4"/>
    <x v="0"/>
    <x v="4"/>
    <x v="107"/>
    <n v="799.95"/>
    <x v="2"/>
    <n v="10399.35"/>
  </r>
  <r>
    <x v="0"/>
    <x v="0"/>
    <x v="0"/>
    <x v="4"/>
    <x v="108"/>
    <n v="340.95"/>
    <x v="14"/>
    <n v="3409.5"/>
  </r>
  <r>
    <x v="2"/>
    <x v="0"/>
    <x v="0"/>
    <x v="0"/>
    <x v="109"/>
    <n v="340.95"/>
    <x v="4"/>
    <n v="2045.6999999999998"/>
  </r>
  <r>
    <x v="11"/>
    <x v="1"/>
    <x v="2"/>
    <x v="4"/>
    <x v="110"/>
    <n v="79.989999999999995"/>
    <x v="15"/>
    <n v="159.97999999999999"/>
  </r>
  <r>
    <x v="1"/>
    <x v="2"/>
    <x v="1"/>
    <x v="0"/>
    <x v="2"/>
    <n v="168.95"/>
    <x v="2"/>
    <n v="2196.35"/>
  </r>
  <r>
    <x v="2"/>
    <x v="4"/>
    <x v="0"/>
    <x v="4"/>
    <x v="111"/>
    <n v="799.95"/>
    <x v="14"/>
    <n v="7999.5"/>
  </r>
  <r>
    <x v="4"/>
    <x v="3"/>
    <x v="0"/>
    <x v="3"/>
    <x v="112"/>
    <n v="340.95"/>
    <x v="5"/>
    <n v="3068.5499999999997"/>
  </r>
  <r>
    <x v="1"/>
    <x v="2"/>
    <x v="1"/>
    <x v="4"/>
    <x v="71"/>
    <n v="168.95"/>
    <x v="3"/>
    <n v="675.8"/>
  </r>
  <r>
    <x v="7"/>
    <x v="4"/>
    <x v="1"/>
    <x v="2"/>
    <x v="113"/>
    <n v="799.95"/>
    <x v="5"/>
    <n v="7199.55"/>
  </r>
  <r>
    <x v="3"/>
    <x v="0"/>
    <x v="1"/>
    <x v="4"/>
    <x v="114"/>
    <n v="340.95"/>
    <x v="1"/>
    <n v="1022.8499999999999"/>
  </r>
  <r>
    <x v="8"/>
    <x v="2"/>
    <x v="2"/>
    <x v="1"/>
    <x v="115"/>
    <n v="168.95"/>
    <x v="10"/>
    <n v="2365.2999999999997"/>
  </r>
  <r>
    <x v="10"/>
    <x v="2"/>
    <x v="1"/>
    <x v="0"/>
    <x v="116"/>
    <n v="168.95"/>
    <x v="10"/>
    <n v="2365.2999999999997"/>
  </r>
  <r>
    <x v="11"/>
    <x v="4"/>
    <x v="2"/>
    <x v="0"/>
    <x v="117"/>
    <n v="799.95"/>
    <x v="13"/>
    <n v="12799.2"/>
  </r>
  <r>
    <x v="3"/>
    <x v="3"/>
    <x v="2"/>
    <x v="0"/>
    <x v="118"/>
    <n v="340.95"/>
    <x v="19"/>
    <n v="5796.15"/>
  </r>
  <r>
    <x v="2"/>
    <x v="0"/>
    <x v="0"/>
    <x v="3"/>
    <x v="119"/>
    <n v="340.95"/>
    <x v="16"/>
    <n v="2386.65"/>
  </r>
  <r>
    <x v="2"/>
    <x v="3"/>
    <x v="0"/>
    <x v="2"/>
    <x v="120"/>
    <n v="340.95"/>
    <x v="0"/>
    <n v="4091.3999999999996"/>
  </r>
  <r>
    <x v="2"/>
    <x v="1"/>
    <x v="0"/>
    <x v="3"/>
    <x v="121"/>
    <n v="79.989999999999995"/>
    <x v="16"/>
    <n v="559.92999999999995"/>
  </r>
  <r>
    <x v="5"/>
    <x v="3"/>
    <x v="3"/>
    <x v="0"/>
    <x v="122"/>
    <n v="340.95"/>
    <x v="19"/>
    <n v="5796.15"/>
  </r>
  <r>
    <x v="0"/>
    <x v="1"/>
    <x v="0"/>
    <x v="3"/>
    <x v="123"/>
    <n v="79.989999999999995"/>
    <x v="3"/>
    <n v="319.95999999999998"/>
  </r>
  <r>
    <x v="6"/>
    <x v="2"/>
    <x v="3"/>
    <x v="1"/>
    <x v="112"/>
    <n v="168.95"/>
    <x v="17"/>
    <n v="2534.25"/>
  </r>
  <r>
    <x v="11"/>
    <x v="1"/>
    <x v="2"/>
    <x v="3"/>
    <x v="57"/>
    <n v="79.989999999999995"/>
    <x v="4"/>
    <n v="479.93999999999994"/>
  </r>
  <r>
    <x v="3"/>
    <x v="1"/>
    <x v="1"/>
    <x v="3"/>
    <x v="74"/>
    <n v="79.989999999999995"/>
    <x v="8"/>
    <n v="639.91999999999996"/>
  </r>
  <r>
    <x v="8"/>
    <x v="0"/>
    <x v="2"/>
    <x v="2"/>
    <x v="63"/>
    <n v="340.95"/>
    <x v="15"/>
    <n v="681.9"/>
  </r>
  <r>
    <x v="11"/>
    <x v="0"/>
    <x v="2"/>
    <x v="3"/>
    <x v="124"/>
    <n v="340.95"/>
    <x v="18"/>
    <n v="1704.75"/>
  </r>
  <r>
    <x v="7"/>
    <x v="4"/>
    <x v="1"/>
    <x v="0"/>
    <x v="125"/>
    <n v="799.95"/>
    <x v="9"/>
    <n v="14399.1"/>
  </r>
  <r>
    <x v="10"/>
    <x v="0"/>
    <x v="1"/>
    <x v="2"/>
    <x v="126"/>
    <n v="340.95"/>
    <x v="16"/>
    <n v="2386.65"/>
  </r>
  <r>
    <x v="3"/>
    <x v="3"/>
    <x v="2"/>
    <x v="4"/>
    <x v="127"/>
    <n v="340.95"/>
    <x v="15"/>
    <n v="681.9"/>
  </r>
  <r>
    <x v="1"/>
    <x v="2"/>
    <x v="1"/>
    <x v="0"/>
    <x v="128"/>
    <n v="168.95"/>
    <x v="7"/>
    <n v="3379"/>
  </r>
  <r>
    <x v="1"/>
    <x v="2"/>
    <x v="1"/>
    <x v="1"/>
    <x v="129"/>
    <n v="168.95"/>
    <x v="17"/>
    <n v="2534.25"/>
  </r>
  <r>
    <x v="1"/>
    <x v="2"/>
    <x v="1"/>
    <x v="0"/>
    <x v="130"/>
    <n v="168.95"/>
    <x v="7"/>
    <n v="3379"/>
  </r>
  <r>
    <x v="3"/>
    <x v="1"/>
    <x v="1"/>
    <x v="4"/>
    <x v="114"/>
    <n v="79.989999999999995"/>
    <x v="12"/>
    <n v="79.989999999999995"/>
  </r>
  <r>
    <x v="7"/>
    <x v="1"/>
    <x v="1"/>
    <x v="3"/>
    <x v="131"/>
    <n v="79.989999999999995"/>
    <x v="15"/>
    <n v="159.97999999999999"/>
  </r>
  <r>
    <x v="6"/>
    <x v="1"/>
    <x v="3"/>
    <x v="1"/>
    <x v="132"/>
    <n v="79.989999999999995"/>
    <x v="10"/>
    <n v="1119.8599999999999"/>
  </r>
  <r>
    <x v="0"/>
    <x v="2"/>
    <x v="0"/>
    <x v="4"/>
    <x v="34"/>
    <n v="168.95"/>
    <x v="15"/>
    <n v="337.9"/>
  </r>
  <r>
    <x v="1"/>
    <x v="4"/>
    <x v="1"/>
    <x v="4"/>
    <x v="133"/>
    <n v="799.95"/>
    <x v="0"/>
    <n v="9599.4000000000015"/>
  </r>
  <r>
    <x v="4"/>
    <x v="3"/>
    <x v="0"/>
    <x v="4"/>
    <x v="134"/>
    <n v="340.95"/>
    <x v="3"/>
    <n v="1363.8"/>
  </r>
  <r>
    <x v="11"/>
    <x v="0"/>
    <x v="2"/>
    <x v="0"/>
    <x v="135"/>
    <n v="340.95"/>
    <x v="13"/>
    <n v="5455.2"/>
  </r>
  <r>
    <x v="7"/>
    <x v="4"/>
    <x v="1"/>
    <x v="1"/>
    <x v="136"/>
    <n v="799.95"/>
    <x v="18"/>
    <n v="3999.75"/>
  </r>
  <r>
    <x v="6"/>
    <x v="1"/>
    <x v="3"/>
    <x v="4"/>
    <x v="137"/>
    <n v="79.989999999999995"/>
    <x v="2"/>
    <n v="1039.8699999999999"/>
  </r>
  <r>
    <x v="10"/>
    <x v="0"/>
    <x v="1"/>
    <x v="0"/>
    <x v="138"/>
    <n v="340.95"/>
    <x v="9"/>
    <n v="6137.0999999999995"/>
  </r>
  <r>
    <x v="0"/>
    <x v="3"/>
    <x v="0"/>
    <x v="3"/>
    <x v="38"/>
    <n v="340.95"/>
    <x v="8"/>
    <n v="2727.6"/>
  </r>
  <r>
    <x v="11"/>
    <x v="2"/>
    <x v="2"/>
    <x v="0"/>
    <x v="126"/>
    <n v="168.95"/>
    <x v="16"/>
    <n v="1182.6499999999999"/>
  </r>
  <r>
    <x v="9"/>
    <x v="3"/>
    <x v="0"/>
    <x v="0"/>
    <x v="139"/>
    <n v="340.95"/>
    <x v="19"/>
    <n v="5796.15"/>
  </r>
  <r>
    <x v="3"/>
    <x v="1"/>
    <x v="1"/>
    <x v="1"/>
    <x v="22"/>
    <n v="79.989999999999995"/>
    <x v="1"/>
    <n v="239.96999999999997"/>
  </r>
  <r>
    <x v="2"/>
    <x v="2"/>
    <x v="0"/>
    <x v="4"/>
    <x v="140"/>
    <n v="168.95"/>
    <x v="12"/>
    <n v="168.95"/>
  </r>
  <r>
    <x v="5"/>
    <x v="3"/>
    <x v="3"/>
    <x v="4"/>
    <x v="59"/>
    <n v="340.95"/>
    <x v="10"/>
    <n v="4773.3"/>
  </r>
  <r>
    <x v="7"/>
    <x v="0"/>
    <x v="1"/>
    <x v="3"/>
    <x v="40"/>
    <n v="340.95"/>
    <x v="12"/>
    <n v="340.95"/>
  </r>
  <r>
    <x v="3"/>
    <x v="4"/>
    <x v="1"/>
    <x v="2"/>
    <x v="130"/>
    <n v="799.95"/>
    <x v="5"/>
    <n v="7199.55"/>
  </r>
  <r>
    <x v="3"/>
    <x v="2"/>
    <x v="1"/>
    <x v="3"/>
    <x v="141"/>
    <n v="168.95"/>
    <x v="3"/>
    <n v="675.8"/>
  </r>
  <r>
    <x v="11"/>
    <x v="3"/>
    <x v="2"/>
    <x v="4"/>
    <x v="74"/>
    <n v="340.95"/>
    <x v="5"/>
    <n v="3068.5499999999997"/>
  </r>
  <r>
    <x v="10"/>
    <x v="3"/>
    <x v="1"/>
    <x v="0"/>
    <x v="142"/>
    <n v="340.95"/>
    <x v="5"/>
    <n v="3068.5499999999997"/>
  </r>
  <r>
    <x v="11"/>
    <x v="2"/>
    <x v="2"/>
    <x v="3"/>
    <x v="143"/>
    <n v="168.95"/>
    <x v="15"/>
    <n v="337.9"/>
  </r>
  <r>
    <x v="3"/>
    <x v="2"/>
    <x v="1"/>
    <x v="0"/>
    <x v="144"/>
    <n v="168.95"/>
    <x v="6"/>
    <n v="1858.4499999999998"/>
  </r>
  <r>
    <x v="0"/>
    <x v="0"/>
    <x v="0"/>
    <x v="1"/>
    <x v="37"/>
    <n v="340.95"/>
    <x v="8"/>
    <n v="2727.6"/>
  </r>
  <r>
    <x v="3"/>
    <x v="2"/>
    <x v="1"/>
    <x v="3"/>
    <x v="22"/>
    <n v="168.95"/>
    <x v="5"/>
    <n v="1520.55"/>
  </r>
  <r>
    <x v="11"/>
    <x v="3"/>
    <x v="2"/>
    <x v="0"/>
    <x v="99"/>
    <n v="340.95"/>
    <x v="0"/>
    <n v="4091.3999999999996"/>
  </r>
  <r>
    <x v="1"/>
    <x v="2"/>
    <x v="1"/>
    <x v="2"/>
    <x v="99"/>
    <n v="168.95"/>
    <x v="4"/>
    <n v="1013.6999999999999"/>
  </r>
  <r>
    <x v="8"/>
    <x v="1"/>
    <x v="2"/>
    <x v="2"/>
    <x v="145"/>
    <n v="79.989999999999995"/>
    <x v="14"/>
    <n v="799.9"/>
  </r>
  <r>
    <x v="4"/>
    <x v="2"/>
    <x v="0"/>
    <x v="0"/>
    <x v="134"/>
    <n v="168.95"/>
    <x v="8"/>
    <n v="1351.6"/>
  </r>
  <r>
    <x v="6"/>
    <x v="0"/>
    <x v="3"/>
    <x v="2"/>
    <x v="146"/>
    <n v="340.95"/>
    <x v="17"/>
    <n v="5114.25"/>
  </r>
  <r>
    <x v="5"/>
    <x v="2"/>
    <x v="3"/>
    <x v="4"/>
    <x v="147"/>
    <n v="168.95"/>
    <x v="1"/>
    <n v="506.84999999999997"/>
  </r>
  <r>
    <x v="6"/>
    <x v="1"/>
    <x v="3"/>
    <x v="1"/>
    <x v="148"/>
    <n v="79.989999999999995"/>
    <x v="12"/>
    <n v="79.989999999999995"/>
  </r>
  <r>
    <x v="0"/>
    <x v="0"/>
    <x v="0"/>
    <x v="2"/>
    <x v="149"/>
    <n v="340.95"/>
    <x v="0"/>
    <n v="4091.3999999999996"/>
  </r>
  <r>
    <x v="10"/>
    <x v="4"/>
    <x v="1"/>
    <x v="2"/>
    <x v="150"/>
    <n v="799.95"/>
    <x v="18"/>
    <n v="3999.75"/>
  </r>
  <r>
    <x v="3"/>
    <x v="4"/>
    <x v="1"/>
    <x v="3"/>
    <x v="151"/>
    <n v="799.95"/>
    <x v="5"/>
    <n v="7199.55"/>
  </r>
  <r>
    <x v="10"/>
    <x v="0"/>
    <x v="1"/>
    <x v="1"/>
    <x v="38"/>
    <n v="340.95"/>
    <x v="3"/>
    <n v="1363.8"/>
  </r>
  <r>
    <x v="4"/>
    <x v="2"/>
    <x v="0"/>
    <x v="2"/>
    <x v="152"/>
    <n v="168.95"/>
    <x v="5"/>
    <n v="1520.55"/>
  </r>
  <r>
    <x v="8"/>
    <x v="2"/>
    <x v="2"/>
    <x v="3"/>
    <x v="153"/>
    <n v="168.95"/>
    <x v="15"/>
    <n v="337.9"/>
  </r>
  <r>
    <x v="0"/>
    <x v="2"/>
    <x v="0"/>
    <x v="3"/>
    <x v="52"/>
    <n v="168.95"/>
    <x v="12"/>
    <n v="168.95"/>
  </r>
  <r>
    <x v="9"/>
    <x v="4"/>
    <x v="0"/>
    <x v="3"/>
    <x v="154"/>
    <n v="799.95"/>
    <x v="14"/>
    <n v="7999.5"/>
  </r>
  <r>
    <x v="6"/>
    <x v="4"/>
    <x v="3"/>
    <x v="4"/>
    <x v="155"/>
    <n v="799.95"/>
    <x v="3"/>
    <n v="3199.8"/>
  </r>
  <r>
    <x v="1"/>
    <x v="0"/>
    <x v="1"/>
    <x v="1"/>
    <x v="156"/>
    <n v="340.95"/>
    <x v="8"/>
    <n v="2727.6"/>
  </r>
  <r>
    <x v="6"/>
    <x v="3"/>
    <x v="3"/>
    <x v="1"/>
    <x v="126"/>
    <n v="340.95"/>
    <x v="5"/>
    <n v="3068.5499999999997"/>
  </r>
  <r>
    <x v="10"/>
    <x v="2"/>
    <x v="1"/>
    <x v="0"/>
    <x v="157"/>
    <n v="168.95"/>
    <x v="10"/>
    <n v="2365.2999999999997"/>
  </r>
  <r>
    <x v="1"/>
    <x v="4"/>
    <x v="1"/>
    <x v="3"/>
    <x v="158"/>
    <n v="799.95"/>
    <x v="14"/>
    <n v="7999.5"/>
  </r>
  <r>
    <x v="7"/>
    <x v="2"/>
    <x v="1"/>
    <x v="4"/>
    <x v="159"/>
    <n v="168.95"/>
    <x v="6"/>
    <n v="1858.4499999999998"/>
  </r>
  <r>
    <x v="1"/>
    <x v="3"/>
    <x v="1"/>
    <x v="4"/>
    <x v="160"/>
    <n v="340.95"/>
    <x v="15"/>
    <n v="681.9"/>
  </r>
  <r>
    <x v="0"/>
    <x v="4"/>
    <x v="0"/>
    <x v="0"/>
    <x v="161"/>
    <n v="799.95"/>
    <x v="5"/>
    <n v="7199.55"/>
  </r>
  <r>
    <x v="8"/>
    <x v="1"/>
    <x v="2"/>
    <x v="1"/>
    <x v="162"/>
    <n v="79.989999999999995"/>
    <x v="3"/>
    <n v="319.95999999999998"/>
  </r>
  <r>
    <x v="11"/>
    <x v="1"/>
    <x v="2"/>
    <x v="2"/>
    <x v="96"/>
    <n v="79.989999999999995"/>
    <x v="12"/>
    <n v="79.989999999999995"/>
  </r>
  <r>
    <x v="8"/>
    <x v="1"/>
    <x v="2"/>
    <x v="4"/>
    <x v="9"/>
    <n v="79.989999999999995"/>
    <x v="15"/>
    <n v="159.97999999999999"/>
  </r>
  <r>
    <x v="11"/>
    <x v="4"/>
    <x v="2"/>
    <x v="3"/>
    <x v="163"/>
    <n v="799.95"/>
    <x v="5"/>
    <n v="7199.55"/>
  </r>
  <r>
    <x v="1"/>
    <x v="0"/>
    <x v="1"/>
    <x v="2"/>
    <x v="164"/>
    <n v="340.95"/>
    <x v="15"/>
    <n v="681.9"/>
  </r>
  <r>
    <x v="9"/>
    <x v="3"/>
    <x v="0"/>
    <x v="1"/>
    <x v="139"/>
    <n v="340.95"/>
    <x v="5"/>
    <n v="3068.5499999999997"/>
  </r>
  <r>
    <x v="1"/>
    <x v="0"/>
    <x v="1"/>
    <x v="4"/>
    <x v="165"/>
    <n v="340.95"/>
    <x v="4"/>
    <n v="2045.6999999999998"/>
  </r>
  <r>
    <x v="6"/>
    <x v="1"/>
    <x v="3"/>
    <x v="1"/>
    <x v="132"/>
    <n v="79.989999999999995"/>
    <x v="5"/>
    <n v="719.91"/>
  </r>
  <r>
    <x v="6"/>
    <x v="4"/>
    <x v="3"/>
    <x v="0"/>
    <x v="166"/>
    <n v="799.95"/>
    <x v="2"/>
    <n v="10399.35"/>
  </r>
  <r>
    <x v="11"/>
    <x v="2"/>
    <x v="2"/>
    <x v="2"/>
    <x v="167"/>
    <n v="168.95"/>
    <x v="18"/>
    <n v="844.75"/>
  </r>
  <r>
    <x v="8"/>
    <x v="1"/>
    <x v="2"/>
    <x v="2"/>
    <x v="101"/>
    <n v="79.989999999999995"/>
    <x v="18"/>
    <n v="399.95"/>
  </r>
  <r>
    <x v="1"/>
    <x v="3"/>
    <x v="1"/>
    <x v="2"/>
    <x v="168"/>
    <n v="340.95"/>
    <x v="8"/>
    <n v="2727.6"/>
  </r>
  <r>
    <x v="6"/>
    <x v="4"/>
    <x v="3"/>
    <x v="2"/>
    <x v="83"/>
    <n v="799.95"/>
    <x v="1"/>
    <n v="2399.8500000000004"/>
  </r>
  <r>
    <x v="3"/>
    <x v="1"/>
    <x v="1"/>
    <x v="1"/>
    <x v="169"/>
    <n v="79.989999999999995"/>
    <x v="0"/>
    <n v="959.87999999999988"/>
  </r>
  <r>
    <x v="11"/>
    <x v="0"/>
    <x v="2"/>
    <x v="0"/>
    <x v="170"/>
    <n v="340.95"/>
    <x v="16"/>
    <n v="2386.65"/>
  </r>
  <r>
    <x v="4"/>
    <x v="0"/>
    <x v="0"/>
    <x v="1"/>
    <x v="171"/>
    <n v="340.95"/>
    <x v="6"/>
    <n v="3750.45"/>
  </r>
  <r>
    <x v="1"/>
    <x v="3"/>
    <x v="1"/>
    <x v="3"/>
    <x v="172"/>
    <n v="340.95"/>
    <x v="5"/>
    <n v="3068.5499999999997"/>
  </r>
  <r>
    <x v="1"/>
    <x v="2"/>
    <x v="1"/>
    <x v="1"/>
    <x v="173"/>
    <n v="168.95"/>
    <x v="6"/>
    <n v="1858.4499999999998"/>
  </r>
  <r>
    <x v="5"/>
    <x v="2"/>
    <x v="3"/>
    <x v="1"/>
    <x v="174"/>
    <n v="168.95"/>
    <x v="1"/>
    <n v="506.84999999999997"/>
  </r>
  <r>
    <x v="4"/>
    <x v="3"/>
    <x v="0"/>
    <x v="1"/>
    <x v="175"/>
    <n v="340.95"/>
    <x v="4"/>
    <n v="2045.6999999999998"/>
  </r>
  <r>
    <x v="11"/>
    <x v="4"/>
    <x v="2"/>
    <x v="1"/>
    <x v="176"/>
    <n v="799.95"/>
    <x v="12"/>
    <n v="799.95"/>
  </r>
  <r>
    <x v="1"/>
    <x v="3"/>
    <x v="1"/>
    <x v="2"/>
    <x v="177"/>
    <n v="340.95"/>
    <x v="16"/>
    <n v="2386.65"/>
  </r>
  <r>
    <x v="8"/>
    <x v="2"/>
    <x v="2"/>
    <x v="4"/>
    <x v="178"/>
    <n v="168.95"/>
    <x v="17"/>
    <n v="2534.25"/>
  </r>
  <r>
    <x v="7"/>
    <x v="1"/>
    <x v="1"/>
    <x v="0"/>
    <x v="179"/>
    <n v="79.989999999999995"/>
    <x v="16"/>
    <n v="559.92999999999995"/>
  </r>
  <r>
    <x v="0"/>
    <x v="1"/>
    <x v="0"/>
    <x v="3"/>
    <x v="180"/>
    <n v="79.989999999999995"/>
    <x v="1"/>
    <n v="239.96999999999997"/>
  </r>
  <r>
    <x v="1"/>
    <x v="0"/>
    <x v="1"/>
    <x v="4"/>
    <x v="181"/>
    <n v="340.95"/>
    <x v="3"/>
    <n v="1363.8"/>
  </r>
  <r>
    <x v="10"/>
    <x v="0"/>
    <x v="1"/>
    <x v="1"/>
    <x v="161"/>
    <n v="340.95"/>
    <x v="6"/>
    <n v="3750.45"/>
  </r>
  <r>
    <x v="6"/>
    <x v="4"/>
    <x v="3"/>
    <x v="0"/>
    <x v="182"/>
    <n v="799.95"/>
    <x v="16"/>
    <n v="5599.6500000000005"/>
  </r>
  <r>
    <x v="5"/>
    <x v="1"/>
    <x v="3"/>
    <x v="3"/>
    <x v="183"/>
    <n v="79.989999999999995"/>
    <x v="6"/>
    <n v="879.89"/>
  </r>
  <r>
    <x v="11"/>
    <x v="0"/>
    <x v="2"/>
    <x v="4"/>
    <x v="184"/>
    <n v="340.95"/>
    <x v="8"/>
    <n v="2727.6"/>
  </r>
  <r>
    <x v="0"/>
    <x v="2"/>
    <x v="0"/>
    <x v="3"/>
    <x v="153"/>
    <n v="168.95"/>
    <x v="15"/>
    <n v="337.9"/>
  </r>
  <r>
    <x v="5"/>
    <x v="3"/>
    <x v="3"/>
    <x v="1"/>
    <x v="37"/>
    <n v="340.95"/>
    <x v="15"/>
    <n v="681.9"/>
  </r>
  <r>
    <x v="9"/>
    <x v="0"/>
    <x v="0"/>
    <x v="2"/>
    <x v="185"/>
    <n v="340.95"/>
    <x v="12"/>
    <n v="340.95"/>
  </r>
  <r>
    <x v="2"/>
    <x v="0"/>
    <x v="0"/>
    <x v="4"/>
    <x v="158"/>
    <n v="340.95"/>
    <x v="8"/>
    <n v="2727.6"/>
  </r>
  <r>
    <x v="6"/>
    <x v="1"/>
    <x v="3"/>
    <x v="4"/>
    <x v="186"/>
    <n v="79.989999999999995"/>
    <x v="5"/>
    <n v="719.91"/>
  </r>
  <r>
    <x v="9"/>
    <x v="4"/>
    <x v="0"/>
    <x v="2"/>
    <x v="187"/>
    <n v="799.95"/>
    <x v="2"/>
    <n v="10399.35"/>
  </r>
  <r>
    <x v="10"/>
    <x v="4"/>
    <x v="1"/>
    <x v="0"/>
    <x v="183"/>
    <n v="799.95"/>
    <x v="4"/>
    <n v="4799.7000000000007"/>
  </r>
  <r>
    <x v="0"/>
    <x v="3"/>
    <x v="0"/>
    <x v="2"/>
    <x v="188"/>
    <n v="340.95"/>
    <x v="8"/>
    <n v="2727.6"/>
  </r>
  <r>
    <x v="11"/>
    <x v="4"/>
    <x v="2"/>
    <x v="0"/>
    <x v="189"/>
    <n v="799.95"/>
    <x v="6"/>
    <n v="8799.4500000000007"/>
  </r>
  <r>
    <x v="4"/>
    <x v="1"/>
    <x v="0"/>
    <x v="3"/>
    <x v="133"/>
    <n v="79.989999999999995"/>
    <x v="2"/>
    <n v="1039.8699999999999"/>
  </r>
  <r>
    <x v="3"/>
    <x v="0"/>
    <x v="1"/>
    <x v="0"/>
    <x v="121"/>
    <n v="340.95"/>
    <x v="7"/>
    <n v="6819"/>
  </r>
  <r>
    <x v="7"/>
    <x v="0"/>
    <x v="1"/>
    <x v="0"/>
    <x v="190"/>
    <n v="340.95"/>
    <x v="6"/>
    <n v="3750.45"/>
  </r>
  <r>
    <x v="4"/>
    <x v="3"/>
    <x v="0"/>
    <x v="3"/>
    <x v="161"/>
    <n v="340.95"/>
    <x v="2"/>
    <n v="4432.3499999999995"/>
  </r>
  <r>
    <x v="8"/>
    <x v="4"/>
    <x v="2"/>
    <x v="4"/>
    <x v="191"/>
    <n v="799.95"/>
    <x v="14"/>
    <n v="7999.5"/>
  </r>
  <r>
    <x v="2"/>
    <x v="4"/>
    <x v="0"/>
    <x v="0"/>
    <x v="192"/>
    <n v="799.95"/>
    <x v="16"/>
    <n v="5599.6500000000005"/>
  </r>
  <r>
    <x v="11"/>
    <x v="3"/>
    <x v="2"/>
    <x v="1"/>
    <x v="193"/>
    <n v="340.95"/>
    <x v="12"/>
    <n v="340.95"/>
  </r>
  <r>
    <x v="6"/>
    <x v="0"/>
    <x v="3"/>
    <x v="4"/>
    <x v="194"/>
    <n v="340.95"/>
    <x v="18"/>
    <n v="1704.75"/>
  </r>
  <r>
    <x v="5"/>
    <x v="3"/>
    <x v="3"/>
    <x v="2"/>
    <x v="195"/>
    <n v="340.95"/>
    <x v="14"/>
    <n v="3409.5"/>
  </r>
  <r>
    <x v="0"/>
    <x v="1"/>
    <x v="0"/>
    <x v="4"/>
    <x v="196"/>
    <n v="79.989999999999995"/>
    <x v="4"/>
    <n v="479.93999999999994"/>
  </r>
  <r>
    <x v="10"/>
    <x v="4"/>
    <x v="1"/>
    <x v="4"/>
    <x v="197"/>
    <n v="799.95"/>
    <x v="1"/>
    <n v="2399.8500000000004"/>
  </r>
  <r>
    <x v="11"/>
    <x v="3"/>
    <x v="2"/>
    <x v="1"/>
    <x v="139"/>
    <n v="340.95"/>
    <x v="15"/>
    <n v="681.9"/>
  </r>
  <r>
    <x v="1"/>
    <x v="4"/>
    <x v="1"/>
    <x v="4"/>
    <x v="198"/>
    <n v="799.95"/>
    <x v="16"/>
    <n v="5599.6500000000005"/>
  </r>
  <r>
    <x v="0"/>
    <x v="4"/>
    <x v="0"/>
    <x v="2"/>
    <x v="25"/>
    <n v="799.95"/>
    <x v="4"/>
    <n v="4799.7000000000007"/>
  </r>
  <r>
    <x v="2"/>
    <x v="2"/>
    <x v="0"/>
    <x v="2"/>
    <x v="199"/>
    <n v="168.95"/>
    <x v="15"/>
    <n v="337.9"/>
  </r>
  <r>
    <x v="6"/>
    <x v="0"/>
    <x v="3"/>
    <x v="1"/>
    <x v="73"/>
    <n v="340.95"/>
    <x v="3"/>
    <n v="1363.8"/>
  </r>
  <r>
    <x v="0"/>
    <x v="0"/>
    <x v="0"/>
    <x v="1"/>
    <x v="62"/>
    <n v="340.95"/>
    <x v="14"/>
    <n v="3409.5"/>
  </r>
  <r>
    <x v="11"/>
    <x v="0"/>
    <x v="2"/>
    <x v="3"/>
    <x v="200"/>
    <n v="340.95"/>
    <x v="4"/>
    <n v="2045.6999999999998"/>
  </r>
  <r>
    <x v="1"/>
    <x v="1"/>
    <x v="1"/>
    <x v="0"/>
    <x v="29"/>
    <n v="79.989999999999995"/>
    <x v="7"/>
    <n v="1599.8"/>
  </r>
  <r>
    <x v="4"/>
    <x v="0"/>
    <x v="0"/>
    <x v="3"/>
    <x v="201"/>
    <n v="340.95"/>
    <x v="0"/>
    <n v="4091.3999999999996"/>
  </r>
  <r>
    <x v="9"/>
    <x v="2"/>
    <x v="0"/>
    <x v="3"/>
    <x v="42"/>
    <n v="168.95"/>
    <x v="1"/>
    <n v="506.84999999999997"/>
  </r>
  <r>
    <x v="11"/>
    <x v="3"/>
    <x v="2"/>
    <x v="3"/>
    <x v="60"/>
    <n v="340.95"/>
    <x v="2"/>
    <n v="4432.3499999999995"/>
  </r>
  <r>
    <x v="2"/>
    <x v="4"/>
    <x v="0"/>
    <x v="2"/>
    <x v="202"/>
    <n v="799.95"/>
    <x v="17"/>
    <n v="11999.25"/>
  </r>
  <r>
    <x v="7"/>
    <x v="1"/>
    <x v="1"/>
    <x v="4"/>
    <x v="203"/>
    <n v="79.989999999999995"/>
    <x v="0"/>
    <n v="959.87999999999988"/>
  </r>
  <r>
    <x v="9"/>
    <x v="0"/>
    <x v="0"/>
    <x v="3"/>
    <x v="133"/>
    <n v="340.95"/>
    <x v="2"/>
    <n v="4432.3499999999995"/>
  </r>
  <r>
    <x v="6"/>
    <x v="1"/>
    <x v="3"/>
    <x v="2"/>
    <x v="204"/>
    <n v="79.989999999999995"/>
    <x v="16"/>
    <n v="559.92999999999995"/>
  </r>
  <r>
    <x v="2"/>
    <x v="0"/>
    <x v="0"/>
    <x v="4"/>
    <x v="205"/>
    <n v="340.95"/>
    <x v="10"/>
    <n v="4773.3"/>
  </r>
  <r>
    <x v="0"/>
    <x v="1"/>
    <x v="0"/>
    <x v="0"/>
    <x v="206"/>
    <n v="79.989999999999995"/>
    <x v="19"/>
    <n v="1359.83"/>
  </r>
  <r>
    <x v="1"/>
    <x v="0"/>
    <x v="1"/>
    <x v="3"/>
    <x v="207"/>
    <n v="340.95"/>
    <x v="3"/>
    <n v="1363.8"/>
  </r>
  <r>
    <x v="8"/>
    <x v="0"/>
    <x v="2"/>
    <x v="1"/>
    <x v="36"/>
    <n v="340.95"/>
    <x v="4"/>
    <n v="2045.6999999999998"/>
  </r>
  <r>
    <x v="4"/>
    <x v="4"/>
    <x v="0"/>
    <x v="0"/>
    <x v="208"/>
    <n v="799.95"/>
    <x v="17"/>
    <n v="11999.25"/>
  </r>
  <r>
    <x v="10"/>
    <x v="1"/>
    <x v="1"/>
    <x v="3"/>
    <x v="209"/>
    <n v="79.989999999999995"/>
    <x v="15"/>
    <n v="159.97999999999999"/>
  </r>
  <r>
    <x v="1"/>
    <x v="3"/>
    <x v="1"/>
    <x v="2"/>
    <x v="210"/>
    <n v="340.95"/>
    <x v="18"/>
    <n v="1704.75"/>
  </r>
  <r>
    <x v="0"/>
    <x v="3"/>
    <x v="0"/>
    <x v="2"/>
    <x v="211"/>
    <n v="340.95"/>
    <x v="16"/>
    <n v="2386.65"/>
  </r>
  <r>
    <x v="5"/>
    <x v="2"/>
    <x v="3"/>
    <x v="0"/>
    <x v="212"/>
    <n v="168.95"/>
    <x v="6"/>
    <n v="1858.4499999999998"/>
  </r>
  <r>
    <x v="5"/>
    <x v="1"/>
    <x v="3"/>
    <x v="0"/>
    <x v="21"/>
    <n v="79.989999999999995"/>
    <x v="0"/>
    <n v="959.87999999999988"/>
  </r>
  <r>
    <x v="10"/>
    <x v="4"/>
    <x v="1"/>
    <x v="3"/>
    <x v="213"/>
    <n v="799.95"/>
    <x v="10"/>
    <n v="11199.300000000001"/>
  </r>
  <r>
    <x v="7"/>
    <x v="1"/>
    <x v="1"/>
    <x v="3"/>
    <x v="69"/>
    <n v="79.989999999999995"/>
    <x v="2"/>
    <n v="1039.8699999999999"/>
  </r>
  <r>
    <x v="11"/>
    <x v="0"/>
    <x v="2"/>
    <x v="2"/>
    <x v="79"/>
    <n v="340.95"/>
    <x v="12"/>
    <n v="340.95"/>
  </r>
  <r>
    <x v="5"/>
    <x v="4"/>
    <x v="3"/>
    <x v="2"/>
    <x v="214"/>
    <n v="799.95"/>
    <x v="16"/>
    <n v="5599.6500000000005"/>
  </r>
  <r>
    <x v="2"/>
    <x v="2"/>
    <x v="0"/>
    <x v="1"/>
    <x v="19"/>
    <n v="168.95"/>
    <x v="17"/>
    <n v="2534.25"/>
  </r>
  <r>
    <x v="7"/>
    <x v="1"/>
    <x v="1"/>
    <x v="4"/>
    <x v="215"/>
    <n v="79.989999999999995"/>
    <x v="0"/>
    <n v="959.87999999999988"/>
  </r>
  <r>
    <x v="1"/>
    <x v="1"/>
    <x v="1"/>
    <x v="0"/>
    <x v="216"/>
    <n v="79.989999999999995"/>
    <x v="19"/>
    <n v="1359.83"/>
  </r>
  <r>
    <x v="5"/>
    <x v="2"/>
    <x v="3"/>
    <x v="2"/>
    <x v="217"/>
    <n v="168.95"/>
    <x v="10"/>
    <n v="2365.2999999999997"/>
  </r>
  <r>
    <x v="6"/>
    <x v="2"/>
    <x v="3"/>
    <x v="1"/>
    <x v="218"/>
    <n v="168.95"/>
    <x v="17"/>
    <n v="2534.25"/>
  </r>
  <r>
    <x v="7"/>
    <x v="1"/>
    <x v="1"/>
    <x v="3"/>
    <x v="219"/>
    <n v="79.989999999999995"/>
    <x v="2"/>
    <n v="1039.8699999999999"/>
  </r>
  <r>
    <x v="1"/>
    <x v="2"/>
    <x v="1"/>
    <x v="0"/>
    <x v="220"/>
    <n v="168.95"/>
    <x v="8"/>
    <n v="1351.6"/>
  </r>
  <r>
    <x v="3"/>
    <x v="0"/>
    <x v="1"/>
    <x v="4"/>
    <x v="106"/>
    <n v="340.95"/>
    <x v="10"/>
    <n v="4773.3"/>
  </r>
  <r>
    <x v="2"/>
    <x v="0"/>
    <x v="0"/>
    <x v="1"/>
    <x v="44"/>
    <n v="340.95"/>
    <x v="15"/>
    <n v="681.9"/>
  </r>
  <r>
    <x v="11"/>
    <x v="3"/>
    <x v="2"/>
    <x v="0"/>
    <x v="221"/>
    <n v="340.95"/>
    <x v="6"/>
    <n v="3750.45"/>
  </r>
  <r>
    <x v="10"/>
    <x v="1"/>
    <x v="1"/>
    <x v="1"/>
    <x v="222"/>
    <n v="79.989999999999995"/>
    <x v="4"/>
    <n v="479.93999999999994"/>
  </r>
  <r>
    <x v="2"/>
    <x v="4"/>
    <x v="0"/>
    <x v="0"/>
    <x v="223"/>
    <n v="799.95"/>
    <x v="8"/>
    <n v="6399.6"/>
  </r>
  <r>
    <x v="10"/>
    <x v="4"/>
    <x v="1"/>
    <x v="2"/>
    <x v="224"/>
    <n v="799.95"/>
    <x v="5"/>
    <n v="7199.55"/>
  </r>
  <r>
    <x v="9"/>
    <x v="3"/>
    <x v="0"/>
    <x v="4"/>
    <x v="95"/>
    <n v="340.95"/>
    <x v="10"/>
    <n v="4773.3"/>
  </r>
  <r>
    <x v="6"/>
    <x v="0"/>
    <x v="3"/>
    <x v="4"/>
    <x v="128"/>
    <n v="340.95"/>
    <x v="5"/>
    <n v="3068.5499999999997"/>
  </r>
  <r>
    <x v="7"/>
    <x v="0"/>
    <x v="1"/>
    <x v="2"/>
    <x v="225"/>
    <n v="340.95"/>
    <x v="17"/>
    <n v="5114.25"/>
  </r>
  <r>
    <x v="9"/>
    <x v="1"/>
    <x v="0"/>
    <x v="2"/>
    <x v="74"/>
    <n v="79.989999999999995"/>
    <x v="14"/>
    <n v="799.9"/>
  </r>
  <r>
    <x v="0"/>
    <x v="3"/>
    <x v="0"/>
    <x v="2"/>
    <x v="226"/>
    <n v="340.95"/>
    <x v="17"/>
    <n v="5114.25"/>
  </r>
  <r>
    <x v="1"/>
    <x v="3"/>
    <x v="1"/>
    <x v="4"/>
    <x v="227"/>
    <n v="340.95"/>
    <x v="4"/>
    <n v="2045.6999999999998"/>
  </r>
  <r>
    <x v="9"/>
    <x v="0"/>
    <x v="0"/>
    <x v="3"/>
    <x v="228"/>
    <n v="340.95"/>
    <x v="10"/>
    <n v="4773.3"/>
  </r>
  <r>
    <x v="0"/>
    <x v="2"/>
    <x v="0"/>
    <x v="0"/>
    <x v="229"/>
    <n v="168.95"/>
    <x v="8"/>
    <n v="1351.6"/>
  </r>
  <r>
    <x v="10"/>
    <x v="1"/>
    <x v="1"/>
    <x v="1"/>
    <x v="230"/>
    <n v="79.989999999999995"/>
    <x v="15"/>
    <n v="159.97999999999999"/>
  </r>
  <r>
    <x v="5"/>
    <x v="0"/>
    <x v="3"/>
    <x v="1"/>
    <x v="111"/>
    <n v="340.95"/>
    <x v="5"/>
    <n v="3068.5499999999997"/>
  </r>
  <r>
    <x v="4"/>
    <x v="1"/>
    <x v="0"/>
    <x v="0"/>
    <x v="231"/>
    <n v="79.989999999999995"/>
    <x v="9"/>
    <n v="1439.82"/>
  </r>
  <r>
    <x v="5"/>
    <x v="2"/>
    <x v="3"/>
    <x v="1"/>
    <x v="57"/>
    <n v="168.95"/>
    <x v="16"/>
    <n v="1182.6499999999999"/>
  </r>
  <r>
    <x v="3"/>
    <x v="3"/>
    <x v="2"/>
    <x v="4"/>
    <x v="232"/>
    <n v="340.95"/>
    <x v="8"/>
    <n v="2727.6"/>
  </r>
  <r>
    <x v="1"/>
    <x v="4"/>
    <x v="1"/>
    <x v="4"/>
    <x v="54"/>
    <n v="799.95"/>
    <x v="18"/>
    <n v="3999.75"/>
  </r>
  <r>
    <x v="7"/>
    <x v="0"/>
    <x v="1"/>
    <x v="0"/>
    <x v="68"/>
    <n v="340.95"/>
    <x v="11"/>
    <n v="6478.05"/>
  </r>
  <r>
    <x v="9"/>
    <x v="0"/>
    <x v="0"/>
    <x v="3"/>
    <x v="233"/>
    <n v="340.95"/>
    <x v="15"/>
    <n v="681.9"/>
  </r>
  <r>
    <x v="3"/>
    <x v="0"/>
    <x v="1"/>
    <x v="3"/>
    <x v="234"/>
    <n v="340.95"/>
    <x v="16"/>
    <n v="2386.65"/>
  </r>
  <r>
    <x v="1"/>
    <x v="1"/>
    <x v="1"/>
    <x v="2"/>
    <x v="117"/>
    <n v="79.989999999999995"/>
    <x v="1"/>
    <n v="239.96999999999997"/>
  </r>
  <r>
    <x v="7"/>
    <x v="1"/>
    <x v="1"/>
    <x v="0"/>
    <x v="189"/>
    <n v="79.989999999999995"/>
    <x v="11"/>
    <n v="1519.81"/>
  </r>
  <r>
    <x v="5"/>
    <x v="3"/>
    <x v="3"/>
    <x v="1"/>
    <x v="235"/>
    <n v="340.95"/>
    <x v="17"/>
    <n v="5114.25"/>
  </r>
  <r>
    <x v="1"/>
    <x v="0"/>
    <x v="1"/>
    <x v="1"/>
    <x v="236"/>
    <n v="340.95"/>
    <x v="0"/>
    <n v="4091.3999999999996"/>
  </r>
  <r>
    <x v="11"/>
    <x v="1"/>
    <x v="2"/>
    <x v="2"/>
    <x v="237"/>
    <n v="79.989999999999995"/>
    <x v="1"/>
    <n v="239.96999999999997"/>
  </r>
  <r>
    <x v="5"/>
    <x v="1"/>
    <x v="3"/>
    <x v="3"/>
    <x v="238"/>
    <n v="79.989999999999995"/>
    <x v="18"/>
    <n v="399.95"/>
  </r>
  <r>
    <x v="11"/>
    <x v="2"/>
    <x v="2"/>
    <x v="0"/>
    <x v="239"/>
    <n v="168.95"/>
    <x v="2"/>
    <n v="2196.35"/>
  </r>
  <r>
    <x v="2"/>
    <x v="1"/>
    <x v="0"/>
    <x v="2"/>
    <x v="167"/>
    <n v="79.989999999999995"/>
    <x v="16"/>
    <n v="559.92999999999995"/>
  </r>
  <r>
    <x v="10"/>
    <x v="1"/>
    <x v="1"/>
    <x v="3"/>
    <x v="240"/>
    <n v="79.989999999999995"/>
    <x v="4"/>
    <n v="479.93999999999994"/>
  </r>
  <r>
    <x v="6"/>
    <x v="0"/>
    <x v="3"/>
    <x v="3"/>
    <x v="241"/>
    <n v="340.95"/>
    <x v="14"/>
    <n v="3409.5"/>
  </r>
  <r>
    <x v="4"/>
    <x v="1"/>
    <x v="0"/>
    <x v="1"/>
    <x v="242"/>
    <n v="79.989999999999995"/>
    <x v="17"/>
    <n v="1199.8499999999999"/>
  </r>
  <r>
    <x v="8"/>
    <x v="1"/>
    <x v="2"/>
    <x v="1"/>
    <x v="2"/>
    <n v="79.989999999999995"/>
    <x v="12"/>
    <n v="79.989999999999995"/>
  </r>
  <r>
    <x v="1"/>
    <x v="0"/>
    <x v="1"/>
    <x v="4"/>
    <x v="118"/>
    <n v="340.95"/>
    <x v="0"/>
    <n v="4091.3999999999996"/>
  </r>
  <r>
    <x v="2"/>
    <x v="2"/>
    <x v="0"/>
    <x v="1"/>
    <x v="62"/>
    <n v="168.95"/>
    <x v="15"/>
    <n v="337.9"/>
  </r>
  <r>
    <x v="5"/>
    <x v="4"/>
    <x v="3"/>
    <x v="3"/>
    <x v="171"/>
    <n v="799.95"/>
    <x v="10"/>
    <n v="11199.300000000001"/>
  </r>
  <r>
    <x v="0"/>
    <x v="0"/>
    <x v="0"/>
    <x v="1"/>
    <x v="243"/>
    <n v="340.95"/>
    <x v="1"/>
    <n v="1022.8499999999999"/>
  </r>
  <r>
    <x v="10"/>
    <x v="0"/>
    <x v="1"/>
    <x v="1"/>
    <x v="128"/>
    <n v="340.95"/>
    <x v="8"/>
    <n v="2727.6"/>
  </r>
  <r>
    <x v="6"/>
    <x v="2"/>
    <x v="3"/>
    <x v="2"/>
    <x v="244"/>
    <n v="168.95"/>
    <x v="8"/>
    <n v="1351.6"/>
  </r>
  <r>
    <x v="1"/>
    <x v="0"/>
    <x v="1"/>
    <x v="0"/>
    <x v="245"/>
    <n v="340.95"/>
    <x v="13"/>
    <n v="5455.2"/>
  </r>
  <r>
    <x v="0"/>
    <x v="1"/>
    <x v="0"/>
    <x v="4"/>
    <x v="246"/>
    <n v="79.989999999999995"/>
    <x v="4"/>
    <n v="479.93999999999994"/>
  </r>
  <r>
    <x v="1"/>
    <x v="3"/>
    <x v="1"/>
    <x v="0"/>
    <x v="226"/>
    <n v="340.95"/>
    <x v="8"/>
    <n v="2727.6"/>
  </r>
  <r>
    <x v="7"/>
    <x v="3"/>
    <x v="1"/>
    <x v="3"/>
    <x v="247"/>
    <n v="340.95"/>
    <x v="5"/>
    <n v="3068.5499999999997"/>
  </r>
  <r>
    <x v="1"/>
    <x v="2"/>
    <x v="1"/>
    <x v="0"/>
    <x v="248"/>
    <n v="168.95"/>
    <x v="8"/>
    <n v="1351.6"/>
  </r>
  <r>
    <x v="3"/>
    <x v="4"/>
    <x v="1"/>
    <x v="2"/>
    <x v="249"/>
    <n v="799.95"/>
    <x v="17"/>
    <n v="11999.25"/>
  </r>
  <r>
    <x v="4"/>
    <x v="0"/>
    <x v="0"/>
    <x v="3"/>
    <x v="250"/>
    <n v="340.95"/>
    <x v="3"/>
    <n v="1363.8"/>
  </r>
  <r>
    <x v="3"/>
    <x v="4"/>
    <x v="1"/>
    <x v="4"/>
    <x v="251"/>
    <n v="799.95"/>
    <x v="3"/>
    <n v="3199.8"/>
  </r>
  <r>
    <x v="11"/>
    <x v="0"/>
    <x v="2"/>
    <x v="3"/>
    <x v="252"/>
    <n v="340.95"/>
    <x v="15"/>
    <n v="681.9"/>
  </r>
  <r>
    <x v="2"/>
    <x v="0"/>
    <x v="0"/>
    <x v="2"/>
    <x v="74"/>
    <n v="340.95"/>
    <x v="1"/>
    <n v="1022.8499999999999"/>
  </r>
  <r>
    <x v="5"/>
    <x v="4"/>
    <x v="3"/>
    <x v="3"/>
    <x v="249"/>
    <n v="799.95"/>
    <x v="16"/>
    <n v="5599.6500000000005"/>
  </r>
  <r>
    <x v="11"/>
    <x v="1"/>
    <x v="2"/>
    <x v="2"/>
    <x v="138"/>
    <n v="79.989999999999995"/>
    <x v="5"/>
    <n v="719.91"/>
  </r>
  <r>
    <x v="6"/>
    <x v="4"/>
    <x v="3"/>
    <x v="0"/>
    <x v="253"/>
    <n v="799.95"/>
    <x v="9"/>
    <n v="14399.1"/>
  </r>
  <r>
    <x v="3"/>
    <x v="3"/>
    <x v="2"/>
    <x v="4"/>
    <x v="203"/>
    <n v="340.95"/>
    <x v="15"/>
    <n v="681.9"/>
  </r>
  <r>
    <x v="10"/>
    <x v="3"/>
    <x v="1"/>
    <x v="3"/>
    <x v="111"/>
    <n v="340.95"/>
    <x v="8"/>
    <n v="2727.6"/>
  </r>
  <r>
    <x v="9"/>
    <x v="0"/>
    <x v="0"/>
    <x v="1"/>
    <x v="29"/>
    <n v="340.95"/>
    <x v="4"/>
    <n v="2045.6999999999998"/>
  </r>
  <r>
    <x v="8"/>
    <x v="3"/>
    <x v="2"/>
    <x v="3"/>
    <x v="254"/>
    <n v="340.95"/>
    <x v="14"/>
    <n v="3409.5"/>
  </r>
  <r>
    <x v="5"/>
    <x v="0"/>
    <x v="3"/>
    <x v="2"/>
    <x v="217"/>
    <n v="340.95"/>
    <x v="12"/>
    <n v="340.95"/>
  </r>
  <r>
    <x v="11"/>
    <x v="2"/>
    <x v="2"/>
    <x v="1"/>
    <x v="255"/>
    <n v="168.95"/>
    <x v="3"/>
    <n v="675.8"/>
  </r>
  <r>
    <x v="0"/>
    <x v="1"/>
    <x v="0"/>
    <x v="4"/>
    <x v="29"/>
    <n v="79.989999999999995"/>
    <x v="12"/>
    <n v="79.989999999999995"/>
  </r>
  <r>
    <x v="1"/>
    <x v="0"/>
    <x v="1"/>
    <x v="4"/>
    <x v="130"/>
    <n v="340.95"/>
    <x v="2"/>
    <n v="4432.3499999999995"/>
  </r>
  <r>
    <x v="10"/>
    <x v="0"/>
    <x v="1"/>
    <x v="0"/>
    <x v="256"/>
    <n v="340.95"/>
    <x v="13"/>
    <n v="5455.2"/>
  </r>
  <r>
    <x v="11"/>
    <x v="2"/>
    <x v="2"/>
    <x v="1"/>
    <x v="112"/>
    <n v="168.95"/>
    <x v="4"/>
    <n v="1013.6999999999999"/>
  </r>
  <r>
    <x v="0"/>
    <x v="4"/>
    <x v="0"/>
    <x v="4"/>
    <x v="181"/>
    <n v="799.95"/>
    <x v="3"/>
    <n v="3199.8"/>
  </r>
  <r>
    <x v="1"/>
    <x v="2"/>
    <x v="1"/>
    <x v="0"/>
    <x v="91"/>
    <n v="168.95"/>
    <x v="8"/>
    <n v="1351.6"/>
  </r>
  <r>
    <x v="9"/>
    <x v="0"/>
    <x v="0"/>
    <x v="2"/>
    <x v="257"/>
    <n v="340.95"/>
    <x v="6"/>
    <n v="3750.45"/>
  </r>
  <r>
    <x v="2"/>
    <x v="2"/>
    <x v="0"/>
    <x v="4"/>
    <x v="188"/>
    <n v="168.95"/>
    <x v="17"/>
    <n v="2534.25"/>
  </r>
  <r>
    <x v="1"/>
    <x v="0"/>
    <x v="1"/>
    <x v="4"/>
    <x v="56"/>
    <n v="340.95"/>
    <x v="17"/>
    <n v="5114.25"/>
  </r>
  <r>
    <x v="7"/>
    <x v="4"/>
    <x v="1"/>
    <x v="4"/>
    <x v="258"/>
    <n v="799.95"/>
    <x v="6"/>
    <n v="8799.4500000000007"/>
  </r>
  <r>
    <x v="6"/>
    <x v="1"/>
    <x v="3"/>
    <x v="4"/>
    <x v="259"/>
    <n v="79.989999999999995"/>
    <x v="14"/>
    <n v="799.9"/>
  </r>
  <r>
    <x v="0"/>
    <x v="3"/>
    <x v="0"/>
    <x v="3"/>
    <x v="260"/>
    <n v="340.95"/>
    <x v="5"/>
    <n v="3068.5499999999997"/>
  </r>
  <r>
    <x v="9"/>
    <x v="2"/>
    <x v="0"/>
    <x v="0"/>
    <x v="30"/>
    <n v="168.95"/>
    <x v="19"/>
    <n v="2872.1499999999996"/>
  </r>
  <r>
    <x v="3"/>
    <x v="1"/>
    <x v="1"/>
    <x v="0"/>
    <x v="32"/>
    <n v="79.989999999999995"/>
    <x v="0"/>
    <n v="959.87999999999988"/>
  </r>
  <r>
    <x v="0"/>
    <x v="3"/>
    <x v="0"/>
    <x v="2"/>
    <x v="214"/>
    <n v="340.95"/>
    <x v="4"/>
    <n v="2045.6999999999998"/>
  </r>
  <r>
    <x v="9"/>
    <x v="4"/>
    <x v="0"/>
    <x v="2"/>
    <x v="32"/>
    <n v="799.95"/>
    <x v="17"/>
    <n v="11999.25"/>
  </r>
  <r>
    <x v="3"/>
    <x v="0"/>
    <x v="1"/>
    <x v="1"/>
    <x v="233"/>
    <n v="340.95"/>
    <x v="12"/>
    <n v="340.95"/>
  </r>
  <r>
    <x v="10"/>
    <x v="4"/>
    <x v="1"/>
    <x v="3"/>
    <x v="146"/>
    <n v="799.95"/>
    <x v="3"/>
    <n v="3199.8"/>
  </r>
  <r>
    <x v="11"/>
    <x v="0"/>
    <x v="2"/>
    <x v="4"/>
    <x v="261"/>
    <n v="340.95"/>
    <x v="18"/>
    <n v="1704.75"/>
  </r>
  <r>
    <x v="6"/>
    <x v="4"/>
    <x v="3"/>
    <x v="2"/>
    <x v="262"/>
    <n v="799.95"/>
    <x v="5"/>
    <n v="7199.55"/>
  </r>
  <r>
    <x v="4"/>
    <x v="2"/>
    <x v="0"/>
    <x v="2"/>
    <x v="12"/>
    <n v="168.95"/>
    <x v="12"/>
    <n v="168.95"/>
  </r>
  <r>
    <x v="2"/>
    <x v="0"/>
    <x v="0"/>
    <x v="0"/>
    <x v="263"/>
    <n v="340.95"/>
    <x v="6"/>
    <n v="3750.45"/>
  </r>
  <r>
    <x v="9"/>
    <x v="1"/>
    <x v="0"/>
    <x v="2"/>
    <x v="29"/>
    <n v="79.989999999999995"/>
    <x v="18"/>
    <n v="399.95"/>
  </r>
  <r>
    <x v="1"/>
    <x v="3"/>
    <x v="1"/>
    <x v="4"/>
    <x v="264"/>
    <n v="340.95"/>
    <x v="16"/>
    <n v="2386.65"/>
  </r>
  <r>
    <x v="10"/>
    <x v="3"/>
    <x v="1"/>
    <x v="1"/>
    <x v="179"/>
    <n v="340.95"/>
    <x v="0"/>
    <n v="4091.3999999999996"/>
  </r>
  <r>
    <x v="1"/>
    <x v="3"/>
    <x v="1"/>
    <x v="2"/>
    <x v="265"/>
    <n v="340.95"/>
    <x v="4"/>
    <n v="2045.6999999999998"/>
  </r>
  <r>
    <x v="11"/>
    <x v="1"/>
    <x v="2"/>
    <x v="4"/>
    <x v="266"/>
    <n v="79.989999999999995"/>
    <x v="16"/>
    <n v="559.92999999999995"/>
  </r>
  <r>
    <x v="9"/>
    <x v="4"/>
    <x v="0"/>
    <x v="4"/>
    <x v="235"/>
    <n v="799.95"/>
    <x v="6"/>
    <n v="8799.4500000000007"/>
  </r>
  <r>
    <x v="0"/>
    <x v="4"/>
    <x v="0"/>
    <x v="2"/>
    <x v="267"/>
    <n v="799.95"/>
    <x v="18"/>
    <n v="3999.75"/>
  </r>
  <r>
    <x v="1"/>
    <x v="4"/>
    <x v="1"/>
    <x v="0"/>
    <x v="78"/>
    <n v="799.95"/>
    <x v="13"/>
    <n v="12799.2"/>
  </r>
  <r>
    <x v="11"/>
    <x v="1"/>
    <x v="2"/>
    <x v="4"/>
    <x v="268"/>
    <n v="79.989999999999995"/>
    <x v="1"/>
    <n v="239.96999999999997"/>
  </r>
  <r>
    <x v="3"/>
    <x v="1"/>
    <x v="1"/>
    <x v="0"/>
    <x v="269"/>
    <n v="79.989999999999995"/>
    <x v="0"/>
    <n v="959.87999999999988"/>
  </r>
  <r>
    <x v="9"/>
    <x v="3"/>
    <x v="0"/>
    <x v="4"/>
    <x v="39"/>
    <n v="340.95"/>
    <x v="12"/>
    <n v="340.95"/>
  </r>
  <r>
    <x v="1"/>
    <x v="3"/>
    <x v="1"/>
    <x v="1"/>
    <x v="135"/>
    <n v="340.95"/>
    <x v="1"/>
    <n v="1022.8499999999999"/>
  </r>
  <r>
    <x v="7"/>
    <x v="2"/>
    <x v="1"/>
    <x v="2"/>
    <x v="270"/>
    <n v="168.95"/>
    <x v="12"/>
    <n v="168.95"/>
  </r>
  <r>
    <x v="1"/>
    <x v="3"/>
    <x v="1"/>
    <x v="3"/>
    <x v="271"/>
    <n v="340.95"/>
    <x v="8"/>
    <n v="2727.6"/>
  </r>
  <r>
    <x v="10"/>
    <x v="3"/>
    <x v="1"/>
    <x v="0"/>
    <x v="200"/>
    <n v="340.95"/>
    <x v="11"/>
    <n v="6478.05"/>
  </r>
  <r>
    <x v="11"/>
    <x v="2"/>
    <x v="2"/>
    <x v="4"/>
    <x v="272"/>
    <n v="168.95"/>
    <x v="6"/>
    <n v="1858.4499999999998"/>
  </r>
  <r>
    <x v="1"/>
    <x v="2"/>
    <x v="1"/>
    <x v="3"/>
    <x v="273"/>
    <n v="168.95"/>
    <x v="4"/>
    <n v="1013.6999999999999"/>
  </r>
  <r>
    <x v="7"/>
    <x v="0"/>
    <x v="1"/>
    <x v="2"/>
    <x v="71"/>
    <n v="340.95"/>
    <x v="4"/>
    <n v="2045.6999999999998"/>
  </r>
  <r>
    <x v="5"/>
    <x v="1"/>
    <x v="3"/>
    <x v="1"/>
    <x v="274"/>
    <n v="79.989999999999995"/>
    <x v="10"/>
    <n v="1119.8599999999999"/>
  </r>
  <r>
    <x v="4"/>
    <x v="1"/>
    <x v="0"/>
    <x v="4"/>
    <x v="237"/>
    <n v="79.989999999999995"/>
    <x v="8"/>
    <n v="639.91999999999996"/>
  </r>
  <r>
    <x v="8"/>
    <x v="4"/>
    <x v="2"/>
    <x v="4"/>
    <x v="275"/>
    <n v="799.95"/>
    <x v="10"/>
    <n v="11199.300000000001"/>
  </r>
  <r>
    <x v="2"/>
    <x v="2"/>
    <x v="0"/>
    <x v="4"/>
    <x v="276"/>
    <n v="168.95"/>
    <x v="3"/>
    <n v="675.8"/>
  </r>
  <r>
    <x v="11"/>
    <x v="1"/>
    <x v="2"/>
    <x v="3"/>
    <x v="277"/>
    <n v="79.989999999999995"/>
    <x v="6"/>
    <n v="879.89"/>
  </r>
  <r>
    <x v="11"/>
    <x v="0"/>
    <x v="2"/>
    <x v="4"/>
    <x v="26"/>
    <n v="340.95"/>
    <x v="15"/>
    <n v="681.9"/>
  </r>
  <r>
    <x v="10"/>
    <x v="1"/>
    <x v="1"/>
    <x v="3"/>
    <x v="112"/>
    <n v="79.989999999999995"/>
    <x v="15"/>
    <n v="159.97999999999999"/>
  </r>
  <r>
    <x v="11"/>
    <x v="1"/>
    <x v="2"/>
    <x v="3"/>
    <x v="278"/>
    <n v="79.989999999999995"/>
    <x v="16"/>
    <n v="559.92999999999995"/>
  </r>
  <r>
    <x v="4"/>
    <x v="1"/>
    <x v="0"/>
    <x v="0"/>
    <x v="74"/>
    <n v="79.989999999999995"/>
    <x v="2"/>
    <n v="1039.8699999999999"/>
  </r>
  <r>
    <x v="7"/>
    <x v="4"/>
    <x v="1"/>
    <x v="4"/>
    <x v="166"/>
    <n v="799.95"/>
    <x v="14"/>
    <n v="7999.5"/>
  </r>
  <r>
    <x v="8"/>
    <x v="0"/>
    <x v="2"/>
    <x v="3"/>
    <x v="279"/>
    <n v="340.95"/>
    <x v="12"/>
    <n v="340.95"/>
  </r>
  <r>
    <x v="3"/>
    <x v="2"/>
    <x v="1"/>
    <x v="0"/>
    <x v="29"/>
    <n v="168.95"/>
    <x v="5"/>
    <n v="1520.55"/>
  </r>
  <r>
    <x v="1"/>
    <x v="3"/>
    <x v="1"/>
    <x v="0"/>
    <x v="142"/>
    <n v="340.95"/>
    <x v="19"/>
    <n v="5796.15"/>
  </r>
  <r>
    <x v="0"/>
    <x v="4"/>
    <x v="0"/>
    <x v="1"/>
    <x v="280"/>
    <n v="799.95"/>
    <x v="2"/>
    <n v="10399.35"/>
  </r>
  <r>
    <x v="7"/>
    <x v="3"/>
    <x v="1"/>
    <x v="4"/>
    <x v="71"/>
    <n v="340.95"/>
    <x v="17"/>
    <n v="5114.25"/>
  </r>
  <r>
    <x v="0"/>
    <x v="3"/>
    <x v="0"/>
    <x v="1"/>
    <x v="281"/>
    <n v="340.95"/>
    <x v="0"/>
    <n v="4091.3999999999996"/>
  </r>
  <r>
    <x v="10"/>
    <x v="1"/>
    <x v="1"/>
    <x v="1"/>
    <x v="127"/>
    <n v="79.989999999999995"/>
    <x v="0"/>
    <n v="959.87999999999988"/>
  </r>
  <r>
    <x v="6"/>
    <x v="1"/>
    <x v="3"/>
    <x v="3"/>
    <x v="171"/>
    <n v="79.989999999999995"/>
    <x v="17"/>
    <n v="1199.8499999999999"/>
  </r>
  <r>
    <x v="2"/>
    <x v="2"/>
    <x v="0"/>
    <x v="3"/>
    <x v="282"/>
    <n v="168.95"/>
    <x v="2"/>
    <n v="2196.35"/>
  </r>
  <r>
    <x v="5"/>
    <x v="0"/>
    <x v="3"/>
    <x v="1"/>
    <x v="172"/>
    <n v="340.95"/>
    <x v="2"/>
    <n v="4432.3499999999995"/>
  </r>
  <r>
    <x v="3"/>
    <x v="0"/>
    <x v="1"/>
    <x v="0"/>
    <x v="52"/>
    <n v="340.95"/>
    <x v="0"/>
    <n v="4091.3999999999996"/>
  </r>
  <r>
    <x v="5"/>
    <x v="2"/>
    <x v="3"/>
    <x v="2"/>
    <x v="283"/>
    <n v="168.95"/>
    <x v="1"/>
    <n v="506.84999999999997"/>
  </r>
  <r>
    <x v="8"/>
    <x v="1"/>
    <x v="2"/>
    <x v="4"/>
    <x v="79"/>
    <n v="79.989999999999995"/>
    <x v="16"/>
    <n v="559.92999999999995"/>
  </r>
  <r>
    <x v="6"/>
    <x v="0"/>
    <x v="3"/>
    <x v="0"/>
    <x v="8"/>
    <n v="340.95"/>
    <x v="2"/>
    <n v="4432.3499999999995"/>
  </r>
  <r>
    <x v="0"/>
    <x v="1"/>
    <x v="0"/>
    <x v="0"/>
    <x v="18"/>
    <n v="79.989999999999995"/>
    <x v="5"/>
    <n v="719.91"/>
  </r>
  <r>
    <x v="4"/>
    <x v="4"/>
    <x v="0"/>
    <x v="3"/>
    <x v="284"/>
    <n v="799.95"/>
    <x v="18"/>
    <n v="3999.75"/>
  </r>
  <r>
    <x v="2"/>
    <x v="4"/>
    <x v="0"/>
    <x v="3"/>
    <x v="88"/>
    <n v="799.95"/>
    <x v="15"/>
    <n v="1599.9"/>
  </r>
  <r>
    <x v="2"/>
    <x v="2"/>
    <x v="0"/>
    <x v="1"/>
    <x v="150"/>
    <n v="168.95"/>
    <x v="0"/>
    <n v="2027.3999999999999"/>
  </r>
  <r>
    <x v="6"/>
    <x v="0"/>
    <x v="3"/>
    <x v="1"/>
    <x v="45"/>
    <n v="340.95"/>
    <x v="17"/>
    <n v="5114.25"/>
  </r>
  <r>
    <x v="2"/>
    <x v="2"/>
    <x v="0"/>
    <x v="2"/>
    <x v="110"/>
    <n v="168.95"/>
    <x v="0"/>
    <n v="2027.3999999999999"/>
  </r>
  <r>
    <x v="0"/>
    <x v="0"/>
    <x v="0"/>
    <x v="1"/>
    <x v="11"/>
    <n v="340.95"/>
    <x v="12"/>
    <n v="340.95"/>
  </r>
  <r>
    <x v="10"/>
    <x v="0"/>
    <x v="1"/>
    <x v="0"/>
    <x v="285"/>
    <n v="340.95"/>
    <x v="7"/>
    <n v="6819"/>
  </r>
  <r>
    <x v="1"/>
    <x v="4"/>
    <x v="1"/>
    <x v="0"/>
    <x v="117"/>
    <n v="799.95"/>
    <x v="19"/>
    <n v="13599.150000000001"/>
  </r>
  <r>
    <x v="9"/>
    <x v="3"/>
    <x v="0"/>
    <x v="0"/>
    <x v="95"/>
    <n v="340.95"/>
    <x v="6"/>
    <n v="3750.45"/>
  </r>
  <r>
    <x v="0"/>
    <x v="4"/>
    <x v="0"/>
    <x v="4"/>
    <x v="111"/>
    <n v="799.95"/>
    <x v="8"/>
    <n v="6399.6"/>
  </r>
  <r>
    <x v="9"/>
    <x v="2"/>
    <x v="0"/>
    <x v="2"/>
    <x v="286"/>
    <n v="168.95"/>
    <x v="0"/>
    <n v="2027.3999999999999"/>
  </r>
  <r>
    <x v="7"/>
    <x v="2"/>
    <x v="1"/>
    <x v="4"/>
    <x v="287"/>
    <n v="168.95"/>
    <x v="2"/>
    <n v="2196.35"/>
  </r>
  <r>
    <x v="9"/>
    <x v="0"/>
    <x v="0"/>
    <x v="0"/>
    <x v="86"/>
    <n v="340.95"/>
    <x v="10"/>
    <n v="4773.3"/>
  </r>
  <r>
    <x v="2"/>
    <x v="4"/>
    <x v="0"/>
    <x v="3"/>
    <x v="288"/>
    <n v="799.95"/>
    <x v="5"/>
    <n v="7199.55"/>
  </r>
  <r>
    <x v="11"/>
    <x v="3"/>
    <x v="2"/>
    <x v="0"/>
    <x v="212"/>
    <n v="340.95"/>
    <x v="16"/>
    <n v="2386.65"/>
  </r>
  <r>
    <x v="3"/>
    <x v="0"/>
    <x v="1"/>
    <x v="1"/>
    <x v="165"/>
    <n v="340.95"/>
    <x v="4"/>
    <n v="2045.6999999999998"/>
  </r>
  <r>
    <x v="1"/>
    <x v="3"/>
    <x v="1"/>
    <x v="3"/>
    <x v="289"/>
    <n v="340.95"/>
    <x v="6"/>
    <n v="3750.45"/>
  </r>
  <r>
    <x v="3"/>
    <x v="3"/>
    <x v="2"/>
    <x v="3"/>
    <x v="290"/>
    <n v="340.95"/>
    <x v="16"/>
    <n v="2386.65"/>
  </r>
  <r>
    <x v="7"/>
    <x v="0"/>
    <x v="1"/>
    <x v="1"/>
    <x v="173"/>
    <n v="340.95"/>
    <x v="6"/>
    <n v="3750.45"/>
  </r>
  <r>
    <x v="3"/>
    <x v="1"/>
    <x v="1"/>
    <x v="4"/>
    <x v="264"/>
    <n v="79.989999999999995"/>
    <x v="14"/>
    <n v="799.9"/>
  </r>
  <r>
    <x v="9"/>
    <x v="2"/>
    <x v="0"/>
    <x v="0"/>
    <x v="291"/>
    <n v="168.95"/>
    <x v="5"/>
    <n v="1520.55"/>
  </r>
  <r>
    <x v="2"/>
    <x v="1"/>
    <x v="0"/>
    <x v="4"/>
    <x v="231"/>
    <n v="79.989999999999995"/>
    <x v="5"/>
    <n v="719.91"/>
  </r>
  <r>
    <x v="11"/>
    <x v="4"/>
    <x v="2"/>
    <x v="3"/>
    <x v="249"/>
    <n v="799.95"/>
    <x v="8"/>
    <n v="6399.6"/>
  </r>
  <r>
    <x v="8"/>
    <x v="3"/>
    <x v="2"/>
    <x v="3"/>
    <x v="292"/>
    <n v="340.95"/>
    <x v="4"/>
    <n v="2045.6999999999998"/>
  </r>
  <r>
    <x v="0"/>
    <x v="0"/>
    <x v="0"/>
    <x v="2"/>
    <x v="293"/>
    <n v="340.95"/>
    <x v="12"/>
    <n v="340.95"/>
  </r>
  <r>
    <x v="5"/>
    <x v="2"/>
    <x v="3"/>
    <x v="1"/>
    <x v="249"/>
    <n v="168.95"/>
    <x v="4"/>
    <n v="1013.6999999999999"/>
  </r>
  <r>
    <x v="1"/>
    <x v="0"/>
    <x v="1"/>
    <x v="3"/>
    <x v="104"/>
    <n v="340.95"/>
    <x v="3"/>
    <n v="1363.8"/>
  </r>
  <r>
    <x v="4"/>
    <x v="1"/>
    <x v="0"/>
    <x v="4"/>
    <x v="237"/>
    <n v="79.989999999999995"/>
    <x v="0"/>
    <n v="959.87999999999988"/>
  </r>
  <r>
    <x v="3"/>
    <x v="3"/>
    <x v="2"/>
    <x v="4"/>
    <x v="294"/>
    <n v="340.95"/>
    <x v="16"/>
    <n v="2386.65"/>
  </r>
  <r>
    <x v="2"/>
    <x v="0"/>
    <x v="0"/>
    <x v="1"/>
    <x v="295"/>
    <n v="340.95"/>
    <x v="6"/>
    <n v="3750.45"/>
  </r>
  <r>
    <x v="3"/>
    <x v="2"/>
    <x v="1"/>
    <x v="3"/>
    <x v="263"/>
    <n v="168.95"/>
    <x v="3"/>
    <n v="675.8"/>
  </r>
  <r>
    <x v="2"/>
    <x v="1"/>
    <x v="0"/>
    <x v="2"/>
    <x v="251"/>
    <n v="79.989999999999995"/>
    <x v="15"/>
    <n v="159.97999999999999"/>
  </r>
  <r>
    <x v="5"/>
    <x v="0"/>
    <x v="3"/>
    <x v="3"/>
    <x v="296"/>
    <n v="340.95"/>
    <x v="4"/>
    <n v="2045.6999999999998"/>
  </r>
  <r>
    <x v="6"/>
    <x v="2"/>
    <x v="3"/>
    <x v="4"/>
    <x v="297"/>
    <n v="168.95"/>
    <x v="8"/>
    <n v="1351.6"/>
  </r>
  <r>
    <x v="2"/>
    <x v="4"/>
    <x v="0"/>
    <x v="0"/>
    <x v="3"/>
    <n v="799.95"/>
    <x v="0"/>
    <n v="9599.4000000000015"/>
  </r>
  <r>
    <x v="9"/>
    <x v="0"/>
    <x v="0"/>
    <x v="3"/>
    <x v="77"/>
    <n v="340.95"/>
    <x v="4"/>
    <n v="2045.6999999999998"/>
  </r>
  <r>
    <x v="9"/>
    <x v="0"/>
    <x v="0"/>
    <x v="2"/>
    <x v="94"/>
    <n v="340.95"/>
    <x v="15"/>
    <n v="681.9"/>
  </r>
  <r>
    <x v="0"/>
    <x v="0"/>
    <x v="0"/>
    <x v="3"/>
    <x v="62"/>
    <n v="340.95"/>
    <x v="1"/>
    <n v="1022.8499999999999"/>
  </r>
  <r>
    <x v="10"/>
    <x v="0"/>
    <x v="1"/>
    <x v="3"/>
    <x v="113"/>
    <n v="340.95"/>
    <x v="1"/>
    <n v="1022.8499999999999"/>
  </r>
  <r>
    <x v="6"/>
    <x v="1"/>
    <x v="3"/>
    <x v="2"/>
    <x v="298"/>
    <n v="79.989999999999995"/>
    <x v="17"/>
    <n v="1199.8499999999999"/>
  </r>
  <r>
    <x v="2"/>
    <x v="0"/>
    <x v="0"/>
    <x v="4"/>
    <x v="299"/>
    <n v="340.95"/>
    <x v="8"/>
    <n v="2727.6"/>
  </r>
  <r>
    <x v="10"/>
    <x v="0"/>
    <x v="1"/>
    <x v="1"/>
    <x v="300"/>
    <n v="340.95"/>
    <x v="4"/>
    <n v="2045.6999999999998"/>
  </r>
  <r>
    <x v="2"/>
    <x v="3"/>
    <x v="0"/>
    <x v="0"/>
    <x v="301"/>
    <n v="340.95"/>
    <x v="9"/>
    <n v="6137.0999999999995"/>
  </r>
  <r>
    <x v="6"/>
    <x v="1"/>
    <x v="3"/>
    <x v="2"/>
    <x v="218"/>
    <n v="79.989999999999995"/>
    <x v="12"/>
    <n v="79.989999999999995"/>
  </r>
  <r>
    <x v="4"/>
    <x v="4"/>
    <x v="0"/>
    <x v="0"/>
    <x v="302"/>
    <n v="799.95"/>
    <x v="0"/>
    <n v="9599.4000000000015"/>
  </r>
  <r>
    <x v="9"/>
    <x v="2"/>
    <x v="0"/>
    <x v="0"/>
    <x v="303"/>
    <n v="168.95"/>
    <x v="9"/>
    <n v="3041.1"/>
  </r>
  <r>
    <x v="11"/>
    <x v="0"/>
    <x v="2"/>
    <x v="3"/>
    <x v="304"/>
    <n v="340.95"/>
    <x v="2"/>
    <n v="4432.3499999999995"/>
  </r>
  <r>
    <x v="11"/>
    <x v="2"/>
    <x v="2"/>
    <x v="1"/>
    <x v="129"/>
    <n v="168.95"/>
    <x v="0"/>
    <n v="2027.3999999999999"/>
  </r>
  <r>
    <x v="4"/>
    <x v="3"/>
    <x v="0"/>
    <x v="0"/>
    <x v="305"/>
    <n v="340.95"/>
    <x v="10"/>
    <n v="4773.3"/>
  </r>
  <r>
    <x v="1"/>
    <x v="4"/>
    <x v="1"/>
    <x v="3"/>
    <x v="122"/>
    <n v="799.95"/>
    <x v="15"/>
    <n v="1599.9"/>
  </r>
  <r>
    <x v="6"/>
    <x v="4"/>
    <x v="3"/>
    <x v="3"/>
    <x v="306"/>
    <n v="799.95"/>
    <x v="8"/>
    <n v="6399.6"/>
  </r>
  <r>
    <x v="8"/>
    <x v="3"/>
    <x v="2"/>
    <x v="3"/>
    <x v="41"/>
    <n v="340.95"/>
    <x v="14"/>
    <n v="3409.5"/>
  </r>
  <r>
    <x v="0"/>
    <x v="4"/>
    <x v="0"/>
    <x v="0"/>
    <x v="307"/>
    <n v="799.95"/>
    <x v="13"/>
    <n v="12799.2"/>
  </r>
  <r>
    <x v="9"/>
    <x v="4"/>
    <x v="0"/>
    <x v="2"/>
    <x v="308"/>
    <n v="799.95"/>
    <x v="14"/>
    <n v="7999.5"/>
  </r>
  <r>
    <x v="2"/>
    <x v="3"/>
    <x v="0"/>
    <x v="4"/>
    <x v="309"/>
    <n v="340.95"/>
    <x v="12"/>
    <n v="340.95"/>
  </r>
  <r>
    <x v="2"/>
    <x v="1"/>
    <x v="0"/>
    <x v="1"/>
    <x v="310"/>
    <n v="79.989999999999995"/>
    <x v="1"/>
    <n v="239.96999999999997"/>
  </r>
  <r>
    <x v="2"/>
    <x v="3"/>
    <x v="0"/>
    <x v="4"/>
    <x v="57"/>
    <n v="340.95"/>
    <x v="2"/>
    <n v="4432.3499999999995"/>
  </r>
  <r>
    <x v="4"/>
    <x v="3"/>
    <x v="0"/>
    <x v="1"/>
    <x v="251"/>
    <n v="340.95"/>
    <x v="18"/>
    <n v="1704.75"/>
  </r>
  <r>
    <x v="0"/>
    <x v="1"/>
    <x v="0"/>
    <x v="3"/>
    <x v="311"/>
    <n v="79.989999999999995"/>
    <x v="12"/>
    <n v="79.989999999999995"/>
  </r>
  <r>
    <x v="1"/>
    <x v="1"/>
    <x v="1"/>
    <x v="4"/>
    <x v="312"/>
    <n v="79.989999999999995"/>
    <x v="1"/>
    <n v="239.96999999999997"/>
  </r>
  <r>
    <x v="1"/>
    <x v="0"/>
    <x v="1"/>
    <x v="3"/>
    <x v="112"/>
    <n v="340.95"/>
    <x v="10"/>
    <n v="4773.3"/>
  </r>
  <r>
    <x v="9"/>
    <x v="2"/>
    <x v="0"/>
    <x v="3"/>
    <x v="204"/>
    <n v="168.95"/>
    <x v="16"/>
    <n v="1182.6499999999999"/>
  </r>
  <r>
    <x v="2"/>
    <x v="3"/>
    <x v="0"/>
    <x v="0"/>
    <x v="313"/>
    <n v="340.95"/>
    <x v="2"/>
    <n v="4432.3499999999995"/>
  </r>
  <r>
    <x v="0"/>
    <x v="0"/>
    <x v="0"/>
    <x v="2"/>
    <x v="36"/>
    <n v="340.95"/>
    <x v="4"/>
    <n v="2045.6999999999998"/>
  </r>
  <r>
    <x v="11"/>
    <x v="1"/>
    <x v="2"/>
    <x v="3"/>
    <x v="314"/>
    <n v="79.989999999999995"/>
    <x v="18"/>
    <n v="399.95"/>
  </r>
  <r>
    <x v="1"/>
    <x v="0"/>
    <x v="1"/>
    <x v="3"/>
    <x v="315"/>
    <n v="340.95"/>
    <x v="16"/>
    <n v="2386.65"/>
  </r>
  <r>
    <x v="9"/>
    <x v="2"/>
    <x v="0"/>
    <x v="2"/>
    <x v="36"/>
    <n v="168.95"/>
    <x v="4"/>
    <n v="1013.6999999999999"/>
  </r>
  <r>
    <x v="5"/>
    <x v="0"/>
    <x v="3"/>
    <x v="0"/>
    <x v="316"/>
    <n v="340.95"/>
    <x v="2"/>
    <n v="4432.3499999999995"/>
  </r>
  <r>
    <x v="3"/>
    <x v="3"/>
    <x v="2"/>
    <x v="2"/>
    <x v="317"/>
    <n v="340.95"/>
    <x v="8"/>
    <n v="2727.6"/>
  </r>
  <r>
    <x v="5"/>
    <x v="4"/>
    <x v="3"/>
    <x v="0"/>
    <x v="318"/>
    <n v="799.95"/>
    <x v="2"/>
    <n v="10399.35"/>
  </r>
  <r>
    <x v="9"/>
    <x v="4"/>
    <x v="0"/>
    <x v="2"/>
    <x v="319"/>
    <n v="799.95"/>
    <x v="4"/>
    <n v="4799.7000000000007"/>
  </r>
  <r>
    <x v="7"/>
    <x v="0"/>
    <x v="1"/>
    <x v="0"/>
    <x v="86"/>
    <n v="340.95"/>
    <x v="11"/>
    <n v="6478.05"/>
  </r>
  <r>
    <x v="5"/>
    <x v="0"/>
    <x v="3"/>
    <x v="1"/>
    <x v="194"/>
    <n v="340.95"/>
    <x v="8"/>
    <n v="2727.6"/>
  </r>
  <r>
    <x v="10"/>
    <x v="2"/>
    <x v="1"/>
    <x v="1"/>
    <x v="92"/>
    <n v="168.95"/>
    <x v="3"/>
    <n v="675.8"/>
  </r>
  <r>
    <x v="10"/>
    <x v="1"/>
    <x v="1"/>
    <x v="1"/>
    <x v="320"/>
    <n v="79.989999999999995"/>
    <x v="17"/>
    <n v="1199.8499999999999"/>
  </r>
  <r>
    <x v="3"/>
    <x v="2"/>
    <x v="1"/>
    <x v="3"/>
    <x v="47"/>
    <n v="168.95"/>
    <x v="17"/>
    <n v="2534.25"/>
  </r>
  <r>
    <x v="1"/>
    <x v="4"/>
    <x v="1"/>
    <x v="3"/>
    <x v="168"/>
    <n v="799.95"/>
    <x v="1"/>
    <n v="2399.8500000000004"/>
  </r>
  <r>
    <x v="11"/>
    <x v="3"/>
    <x v="2"/>
    <x v="4"/>
    <x v="321"/>
    <n v="340.95"/>
    <x v="0"/>
    <n v="4091.3999999999996"/>
  </r>
  <r>
    <x v="10"/>
    <x v="3"/>
    <x v="1"/>
    <x v="3"/>
    <x v="55"/>
    <n v="340.95"/>
    <x v="4"/>
    <n v="2045.6999999999998"/>
  </r>
  <r>
    <x v="10"/>
    <x v="2"/>
    <x v="1"/>
    <x v="4"/>
    <x v="75"/>
    <n v="168.95"/>
    <x v="17"/>
    <n v="2534.25"/>
  </r>
  <r>
    <x v="7"/>
    <x v="2"/>
    <x v="1"/>
    <x v="4"/>
    <x v="80"/>
    <n v="168.95"/>
    <x v="5"/>
    <n v="1520.55"/>
  </r>
  <r>
    <x v="10"/>
    <x v="3"/>
    <x v="1"/>
    <x v="0"/>
    <x v="80"/>
    <n v="340.95"/>
    <x v="10"/>
    <n v="4773.3"/>
  </r>
  <r>
    <x v="5"/>
    <x v="3"/>
    <x v="3"/>
    <x v="4"/>
    <x v="296"/>
    <n v="340.95"/>
    <x v="12"/>
    <n v="340.95"/>
  </r>
  <r>
    <x v="8"/>
    <x v="3"/>
    <x v="2"/>
    <x v="0"/>
    <x v="322"/>
    <n v="340.95"/>
    <x v="5"/>
    <n v="3068.5499999999997"/>
  </r>
  <r>
    <x v="10"/>
    <x v="0"/>
    <x v="1"/>
    <x v="3"/>
    <x v="218"/>
    <n v="340.95"/>
    <x v="15"/>
    <n v="681.9"/>
  </r>
  <r>
    <x v="2"/>
    <x v="4"/>
    <x v="0"/>
    <x v="3"/>
    <x v="323"/>
    <n v="799.95"/>
    <x v="2"/>
    <n v="10399.35"/>
  </r>
  <r>
    <x v="6"/>
    <x v="1"/>
    <x v="3"/>
    <x v="1"/>
    <x v="5"/>
    <n v="79.989999999999995"/>
    <x v="12"/>
    <n v="79.989999999999995"/>
  </r>
  <r>
    <x v="1"/>
    <x v="2"/>
    <x v="1"/>
    <x v="1"/>
    <x v="263"/>
    <n v="168.95"/>
    <x v="16"/>
    <n v="1182.6499999999999"/>
  </r>
  <r>
    <x v="6"/>
    <x v="0"/>
    <x v="3"/>
    <x v="1"/>
    <x v="72"/>
    <n v="340.95"/>
    <x v="10"/>
    <n v="4773.3"/>
  </r>
  <r>
    <x v="7"/>
    <x v="4"/>
    <x v="1"/>
    <x v="0"/>
    <x v="215"/>
    <n v="799.95"/>
    <x v="17"/>
    <n v="11999.25"/>
  </r>
  <r>
    <x v="1"/>
    <x v="2"/>
    <x v="1"/>
    <x v="3"/>
    <x v="118"/>
    <n v="168.95"/>
    <x v="1"/>
    <n v="506.84999999999997"/>
  </r>
  <r>
    <x v="6"/>
    <x v="1"/>
    <x v="3"/>
    <x v="4"/>
    <x v="324"/>
    <n v="79.989999999999995"/>
    <x v="0"/>
    <n v="959.87999999999988"/>
  </r>
  <r>
    <x v="5"/>
    <x v="0"/>
    <x v="3"/>
    <x v="4"/>
    <x v="88"/>
    <n v="340.95"/>
    <x v="8"/>
    <n v="2727.6"/>
  </r>
  <r>
    <x v="7"/>
    <x v="3"/>
    <x v="1"/>
    <x v="2"/>
    <x v="96"/>
    <n v="340.95"/>
    <x v="6"/>
    <n v="3750.45"/>
  </r>
  <r>
    <x v="2"/>
    <x v="3"/>
    <x v="0"/>
    <x v="0"/>
    <x v="10"/>
    <n v="340.95"/>
    <x v="6"/>
    <n v="3750.45"/>
  </r>
  <r>
    <x v="0"/>
    <x v="4"/>
    <x v="0"/>
    <x v="1"/>
    <x v="325"/>
    <n v="799.95"/>
    <x v="14"/>
    <n v="7999.5"/>
  </r>
  <r>
    <x v="5"/>
    <x v="4"/>
    <x v="3"/>
    <x v="4"/>
    <x v="326"/>
    <n v="799.95"/>
    <x v="14"/>
    <n v="7999.5"/>
  </r>
  <r>
    <x v="11"/>
    <x v="2"/>
    <x v="2"/>
    <x v="2"/>
    <x v="327"/>
    <n v="168.95"/>
    <x v="6"/>
    <n v="1858.4499999999998"/>
  </r>
  <r>
    <x v="2"/>
    <x v="3"/>
    <x v="0"/>
    <x v="4"/>
    <x v="74"/>
    <n v="340.95"/>
    <x v="14"/>
    <n v="3409.5"/>
  </r>
  <r>
    <x v="9"/>
    <x v="0"/>
    <x v="0"/>
    <x v="0"/>
    <x v="247"/>
    <n v="340.95"/>
    <x v="2"/>
    <n v="4432.3499999999995"/>
  </r>
  <r>
    <x v="4"/>
    <x v="4"/>
    <x v="0"/>
    <x v="1"/>
    <x v="232"/>
    <n v="799.95"/>
    <x v="2"/>
    <n v="10399.35"/>
  </r>
  <r>
    <x v="7"/>
    <x v="2"/>
    <x v="1"/>
    <x v="2"/>
    <x v="226"/>
    <n v="168.95"/>
    <x v="1"/>
    <n v="506.84999999999997"/>
  </r>
  <r>
    <x v="2"/>
    <x v="3"/>
    <x v="0"/>
    <x v="0"/>
    <x v="328"/>
    <n v="340.95"/>
    <x v="9"/>
    <n v="6137.0999999999995"/>
  </r>
  <r>
    <x v="9"/>
    <x v="1"/>
    <x v="0"/>
    <x v="0"/>
    <x v="151"/>
    <n v="79.989999999999995"/>
    <x v="11"/>
    <n v="1519.81"/>
  </r>
  <r>
    <x v="5"/>
    <x v="2"/>
    <x v="3"/>
    <x v="0"/>
    <x v="185"/>
    <n v="168.95"/>
    <x v="2"/>
    <n v="2196.35"/>
  </r>
  <r>
    <x v="8"/>
    <x v="2"/>
    <x v="2"/>
    <x v="1"/>
    <x v="329"/>
    <n v="168.95"/>
    <x v="10"/>
    <n v="2365.2999999999997"/>
  </r>
  <r>
    <x v="0"/>
    <x v="4"/>
    <x v="0"/>
    <x v="0"/>
    <x v="330"/>
    <n v="799.95"/>
    <x v="10"/>
    <n v="11199.300000000001"/>
  </r>
  <r>
    <x v="0"/>
    <x v="3"/>
    <x v="0"/>
    <x v="0"/>
    <x v="142"/>
    <n v="340.95"/>
    <x v="6"/>
    <n v="3750.45"/>
  </r>
  <r>
    <x v="0"/>
    <x v="1"/>
    <x v="0"/>
    <x v="0"/>
    <x v="331"/>
    <n v="79.989999999999995"/>
    <x v="8"/>
    <n v="639.91999999999996"/>
  </r>
  <r>
    <x v="4"/>
    <x v="4"/>
    <x v="0"/>
    <x v="3"/>
    <x v="184"/>
    <n v="799.95"/>
    <x v="2"/>
    <n v="10399.35"/>
  </r>
  <r>
    <x v="9"/>
    <x v="2"/>
    <x v="0"/>
    <x v="2"/>
    <x v="332"/>
    <n v="168.95"/>
    <x v="14"/>
    <n v="1689.5"/>
  </r>
  <r>
    <x v="9"/>
    <x v="1"/>
    <x v="0"/>
    <x v="2"/>
    <x v="133"/>
    <n v="79.989999999999995"/>
    <x v="12"/>
    <n v="79.989999999999995"/>
  </r>
  <r>
    <x v="9"/>
    <x v="1"/>
    <x v="0"/>
    <x v="0"/>
    <x v="249"/>
    <n v="79.989999999999995"/>
    <x v="13"/>
    <n v="1279.8399999999999"/>
  </r>
  <r>
    <x v="10"/>
    <x v="4"/>
    <x v="1"/>
    <x v="0"/>
    <x v="224"/>
    <n v="799.95"/>
    <x v="11"/>
    <n v="15199.050000000001"/>
  </r>
  <r>
    <x v="10"/>
    <x v="3"/>
    <x v="1"/>
    <x v="0"/>
    <x v="333"/>
    <n v="340.95"/>
    <x v="5"/>
    <n v="3068.5499999999997"/>
  </r>
  <r>
    <x v="9"/>
    <x v="0"/>
    <x v="0"/>
    <x v="3"/>
    <x v="91"/>
    <n v="340.95"/>
    <x v="3"/>
    <n v="1363.8"/>
  </r>
  <r>
    <x v="3"/>
    <x v="2"/>
    <x v="1"/>
    <x v="4"/>
    <x v="334"/>
    <n v="168.95"/>
    <x v="2"/>
    <n v="2196.35"/>
  </r>
  <r>
    <x v="6"/>
    <x v="2"/>
    <x v="3"/>
    <x v="2"/>
    <x v="335"/>
    <n v="168.95"/>
    <x v="3"/>
    <n v="675.8"/>
  </r>
  <r>
    <x v="2"/>
    <x v="0"/>
    <x v="0"/>
    <x v="2"/>
    <x v="336"/>
    <n v="340.95"/>
    <x v="12"/>
    <n v="340.95"/>
  </r>
  <r>
    <x v="11"/>
    <x v="2"/>
    <x v="2"/>
    <x v="3"/>
    <x v="337"/>
    <n v="168.95"/>
    <x v="16"/>
    <n v="1182.6499999999999"/>
  </r>
  <r>
    <x v="2"/>
    <x v="1"/>
    <x v="0"/>
    <x v="4"/>
    <x v="123"/>
    <n v="79.989999999999995"/>
    <x v="8"/>
    <n v="639.91999999999996"/>
  </r>
  <r>
    <x v="1"/>
    <x v="1"/>
    <x v="1"/>
    <x v="1"/>
    <x v="329"/>
    <n v="79.989999999999995"/>
    <x v="14"/>
    <n v="799.9"/>
  </r>
  <r>
    <x v="2"/>
    <x v="0"/>
    <x v="0"/>
    <x v="4"/>
    <x v="338"/>
    <n v="340.95"/>
    <x v="10"/>
    <n v="4773.3"/>
  </r>
  <r>
    <x v="10"/>
    <x v="2"/>
    <x v="1"/>
    <x v="3"/>
    <x v="339"/>
    <n v="168.95"/>
    <x v="0"/>
    <n v="2027.3999999999999"/>
  </r>
  <r>
    <x v="11"/>
    <x v="1"/>
    <x v="2"/>
    <x v="4"/>
    <x v="340"/>
    <n v="79.989999999999995"/>
    <x v="18"/>
    <n v="399.95"/>
  </r>
  <r>
    <x v="1"/>
    <x v="3"/>
    <x v="1"/>
    <x v="0"/>
    <x v="341"/>
    <n v="340.95"/>
    <x v="5"/>
    <n v="3068.5499999999997"/>
  </r>
  <r>
    <x v="5"/>
    <x v="2"/>
    <x v="3"/>
    <x v="3"/>
    <x v="342"/>
    <n v="168.95"/>
    <x v="6"/>
    <n v="1858.4499999999998"/>
  </r>
  <r>
    <x v="5"/>
    <x v="3"/>
    <x v="3"/>
    <x v="1"/>
    <x v="105"/>
    <n v="340.95"/>
    <x v="14"/>
    <n v="3409.5"/>
  </r>
  <r>
    <x v="3"/>
    <x v="4"/>
    <x v="1"/>
    <x v="0"/>
    <x v="343"/>
    <n v="799.95"/>
    <x v="6"/>
    <n v="8799.4500000000007"/>
  </r>
  <r>
    <x v="9"/>
    <x v="0"/>
    <x v="0"/>
    <x v="2"/>
    <x v="344"/>
    <n v="340.95"/>
    <x v="4"/>
    <n v="2045.6999999999998"/>
  </r>
  <r>
    <x v="10"/>
    <x v="2"/>
    <x v="1"/>
    <x v="2"/>
    <x v="78"/>
    <n v="168.95"/>
    <x v="18"/>
    <n v="844.75"/>
  </r>
  <r>
    <x v="3"/>
    <x v="2"/>
    <x v="1"/>
    <x v="1"/>
    <x v="345"/>
    <n v="168.95"/>
    <x v="2"/>
    <n v="2196.35"/>
  </r>
  <r>
    <x v="0"/>
    <x v="1"/>
    <x v="0"/>
    <x v="4"/>
    <x v="38"/>
    <n v="79.989999999999995"/>
    <x v="16"/>
    <n v="559.92999999999995"/>
  </r>
  <r>
    <x v="1"/>
    <x v="0"/>
    <x v="1"/>
    <x v="2"/>
    <x v="335"/>
    <n v="340.95"/>
    <x v="14"/>
    <n v="3409.5"/>
  </r>
  <r>
    <x v="2"/>
    <x v="4"/>
    <x v="0"/>
    <x v="2"/>
    <x v="324"/>
    <n v="799.95"/>
    <x v="3"/>
    <n v="3199.8"/>
  </r>
  <r>
    <x v="10"/>
    <x v="2"/>
    <x v="1"/>
    <x v="4"/>
    <x v="346"/>
    <n v="168.95"/>
    <x v="5"/>
    <n v="1520.55"/>
  </r>
  <r>
    <x v="10"/>
    <x v="3"/>
    <x v="1"/>
    <x v="3"/>
    <x v="335"/>
    <n v="340.95"/>
    <x v="1"/>
    <n v="1022.8499999999999"/>
  </r>
  <r>
    <x v="2"/>
    <x v="4"/>
    <x v="0"/>
    <x v="1"/>
    <x v="347"/>
    <n v="799.95"/>
    <x v="6"/>
    <n v="8799.4500000000007"/>
  </r>
  <r>
    <x v="10"/>
    <x v="0"/>
    <x v="1"/>
    <x v="0"/>
    <x v="348"/>
    <n v="340.95"/>
    <x v="7"/>
    <n v="6819"/>
  </r>
  <r>
    <x v="2"/>
    <x v="3"/>
    <x v="0"/>
    <x v="4"/>
    <x v="309"/>
    <n v="340.95"/>
    <x v="1"/>
    <n v="1022.8499999999999"/>
  </r>
  <r>
    <x v="2"/>
    <x v="1"/>
    <x v="0"/>
    <x v="0"/>
    <x v="166"/>
    <n v="79.989999999999995"/>
    <x v="2"/>
    <n v="1039.8699999999999"/>
  </r>
  <r>
    <x v="0"/>
    <x v="4"/>
    <x v="0"/>
    <x v="3"/>
    <x v="349"/>
    <n v="799.95"/>
    <x v="12"/>
    <n v="799.95"/>
  </r>
  <r>
    <x v="11"/>
    <x v="1"/>
    <x v="2"/>
    <x v="1"/>
    <x v="350"/>
    <n v="79.989999999999995"/>
    <x v="1"/>
    <n v="239.96999999999997"/>
  </r>
  <r>
    <x v="9"/>
    <x v="0"/>
    <x v="0"/>
    <x v="3"/>
    <x v="166"/>
    <n v="340.95"/>
    <x v="8"/>
    <n v="2727.6"/>
  </r>
  <r>
    <x v="3"/>
    <x v="3"/>
    <x v="2"/>
    <x v="2"/>
    <x v="204"/>
    <n v="340.95"/>
    <x v="5"/>
    <n v="3068.5499999999997"/>
  </r>
  <r>
    <x v="6"/>
    <x v="0"/>
    <x v="3"/>
    <x v="0"/>
    <x v="351"/>
    <n v="340.95"/>
    <x v="0"/>
    <n v="4091.3999999999996"/>
  </r>
  <r>
    <x v="11"/>
    <x v="0"/>
    <x v="2"/>
    <x v="1"/>
    <x v="352"/>
    <n v="340.95"/>
    <x v="1"/>
    <n v="1022.8499999999999"/>
  </r>
  <r>
    <x v="3"/>
    <x v="3"/>
    <x v="2"/>
    <x v="1"/>
    <x v="351"/>
    <n v="340.95"/>
    <x v="3"/>
    <n v="1363.8"/>
  </r>
  <r>
    <x v="10"/>
    <x v="1"/>
    <x v="1"/>
    <x v="1"/>
    <x v="51"/>
    <n v="79.989999999999995"/>
    <x v="12"/>
    <n v="79.989999999999995"/>
  </r>
  <r>
    <x v="0"/>
    <x v="4"/>
    <x v="0"/>
    <x v="0"/>
    <x v="353"/>
    <n v="799.95"/>
    <x v="6"/>
    <n v="8799.4500000000007"/>
  </r>
  <r>
    <x v="6"/>
    <x v="1"/>
    <x v="3"/>
    <x v="4"/>
    <x v="354"/>
    <n v="79.989999999999995"/>
    <x v="12"/>
    <n v="79.989999999999995"/>
  </r>
  <r>
    <x v="11"/>
    <x v="2"/>
    <x v="2"/>
    <x v="2"/>
    <x v="108"/>
    <n v="168.95"/>
    <x v="18"/>
    <n v="844.75"/>
  </r>
  <r>
    <x v="7"/>
    <x v="3"/>
    <x v="1"/>
    <x v="2"/>
    <x v="355"/>
    <n v="340.95"/>
    <x v="5"/>
    <n v="3068.5499999999997"/>
  </r>
  <r>
    <x v="3"/>
    <x v="3"/>
    <x v="2"/>
    <x v="2"/>
    <x v="356"/>
    <n v="340.95"/>
    <x v="18"/>
    <n v="1704.75"/>
  </r>
  <r>
    <x v="1"/>
    <x v="0"/>
    <x v="1"/>
    <x v="4"/>
    <x v="329"/>
    <n v="340.95"/>
    <x v="18"/>
    <n v="1704.75"/>
  </r>
  <r>
    <x v="2"/>
    <x v="4"/>
    <x v="0"/>
    <x v="0"/>
    <x v="281"/>
    <n v="799.95"/>
    <x v="19"/>
    <n v="13599.150000000001"/>
  </r>
  <r>
    <x v="11"/>
    <x v="4"/>
    <x v="2"/>
    <x v="2"/>
    <x v="53"/>
    <n v="799.95"/>
    <x v="0"/>
    <n v="9599.4000000000015"/>
  </r>
  <r>
    <x v="7"/>
    <x v="4"/>
    <x v="1"/>
    <x v="0"/>
    <x v="100"/>
    <n v="799.95"/>
    <x v="10"/>
    <n v="11199.300000000001"/>
  </r>
  <r>
    <x v="2"/>
    <x v="2"/>
    <x v="0"/>
    <x v="0"/>
    <x v="357"/>
    <n v="168.95"/>
    <x v="0"/>
    <n v="2027.3999999999999"/>
  </r>
  <r>
    <x v="7"/>
    <x v="2"/>
    <x v="1"/>
    <x v="1"/>
    <x v="317"/>
    <n v="168.95"/>
    <x v="14"/>
    <n v="1689.5"/>
  </r>
  <r>
    <x v="2"/>
    <x v="2"/>
    <x v="0"/>
    <x v="4"/>
    <x v="305"/>
    <n v="168.95"/>
    <x v="14"/>
    <n v="1689.5"/>
  </r>
  <r>
    <x v="10"/>
    <x v="4"/>
    <x v="1"/>
    <x v="3"/>
    <x v="358"/>
    <n v="799.95"/>
    <x v="8"/>
    <n v="6399.6"/>
  </r>
  <r>
    <x v="10"/>
    <x v="2"/>
    <x v="1"/>
    <x v="4"/>
    <x v="359"/>
    <n v="168.95"/>
    <x v="3"/>
    <n v="675.8"/>
  </r>
  <r>
    <x v="8"/>
    <x v="0"/>
    <x v="2"/>
    <x v="2"/>
    <x v="185"/>
    <n v="340.95"/>
    <x v="17"/>
    <n v="5114.25"/>
  </r>
  <r>
    <x v="3"/>
    <x v="4"/>
    <x v="1"/>
    <x v="0"/>
    <x v="360"/>
    <n v="799.95"/>
    <x v="11"/>
    <n v="15199.050000000001"/>
  </r>
  <r>
    <x v="0"/>
    <x v="1"/>
    <x v="0"/>
    <x v="2"/>
    <x v="361"/>
    <n v="79.989999999999995"/>
    <x v="1"/>
    <n v="239.96999999999997"/>
  </r>
  <r>
    <x v="2"/>
    <x v="2"/>
    <x v="0"/>
    <x v="0"/>
    <x v="177"/>
    <n v="168.95"/>
    <x v="8"/>
    <n v="1351.6"/>
  </r>
  <r>
    <x v="9"/>
    <x v="0"/>
    <x v="0"/>
    <x v="3"/>
    <x v="91"/>
    <n v="340.95"/>
    <x v="4"/>
    <n v="2045.6999999999998"/>
  </r>
  <r>
    <x v="9"/>
    <x v="1"/>
    <x v="0"/>
    <x v="2"/>
    <x v="65"/>
    <n v="79.989999999999995"/>
    <x v="6"/>
    <n v="879.89"/>
  </r>
  <r>
    <x v="8"/>
    <x v="0"/>
    <x v="2"/>
    <x v="2"/>
    <x v="362"/>
    <n v="340.95"/>
    <x v="8"/>
    <n v="2727.6"/>
  </r>
  <r>
    <x v="5"/>
    <x v="4"/>
    <x v="3"/>
    <x v="4"/>
    <x v="54"/>
    <n v="799.95"/>
    <x v="2"/>
    <n v="10399.35"/>
  </r>
  <r>
    <x v="2"/>
    <x v="0"/>
    <x v="0"/>
    <x v="0"/>
    <x v="68"/>
    <n v="340.95"/>
    <x v="4"/>
    <n v="2045.6999999999998"/>
  </r>
  <r>
    <x v="8"/>
    <x v="2"/>
    <x v="2"/>
    <x v="3"/>
    <x v="363"/>
    <n v="168.95"/>
    <x v="5"/>
    <n v="1520.55"/>
  </r>
  <r>
    <x v="0"/>
    <x v="1"/>
    <x v="0"/>
    <x v="4"/>
    <x v="364"/>
    <n v="79.989999999999995"/>
    <x v="1"/>
    <n v="239.96999999999997"/>
  </r>
  <r>
    <x v="5"/>
    <x v="2"/>
    <x v="3"/>
    <x v="0"/>
    <x v="54"/>
    <n v="168.95"/>
    <x v="9"/>
    <n v="3041.1"/>
  </r>
  <r>
    <x v="1"/>
    <x v="3"/>
    <x v="1"/>
    <x v="3"/>
    <x v="37"/>
    <n v="340.95"/>
    <x v="14"/>
    <n v="3409.5"/>
  </r>
  <r>
    <x v="1"/>
    <x v="3"/>
    <x v="1"/>
    <x v="1"/>
    <x v="137"/>
    <n v="340.95"/>
    <x v="2"/>
    <n v="4432.3499999999995"/>
  </r>
  <r>
    <x v="0"/>
    <x v="4"/>
    <x v="0"/>
    <x v="4"/>
    <x v="365"/>
    <n v="799.95"/>
    <x v="8"/>
    <n v="6399.6"/>
  </r>
  <r>
    <x v="2"/>
    <x v="4"/>
    <x v="0"/>
    <x v="4"/>
    <x v="227"/>
    <n v="799.95"/>
    <x v="16"/>
    <n v="5599.6500000000005"/>
  </r>
  <r>
    <x v="11"/>
    <x v="3"/>
    <x v="2"/>
    <x v="4"/>
    <x v="250"/>
    <n v="340.95"/>
    <x v="8"/>
    <n v="2727.6"/>
  </r>
  <r>
    <x v="8"/>
    <x v="0"/>
    <x v="2"/>
    <x v="4"/>
    <x v="366"/>
    <n v="340.95"/>
    <x v="5"/>
    <n v="3068.5499999999997"/>
  </r>
  <r>
    <x v="1"/>
    <x v="4"/>
    <x v="1"/>
    <x v="4"/>
    <x v="56"/>
    <n v="799.95"/>
    <x v="1"/>
    <n v="2399.8500000000004"/>
  </r>
  <r>
    <x v="10"/>
    <x v="3"/>
    <x v="1"/>
    <x v="4"/>
    <x v="240"/>
    <n v="340.95"/>
    <x v="18"/>
    <n v="1704.75"/>
  </r>
  <r>
    <x v="0"/>
    <x v="1"/>
    <x v="0"/>
    <x v="0"/>
    <x v="233"/>
    <n v="79.989999999999995"/>
    <x v="6"/>
    <n v="879.89"/>
  </r>
  <r>
    <x v="8"/>
    <x v="0"/>
    <x v="2"/>
    <x v="1"/>
    <x v="367"/>
    <n v="340.95"/>
    <x v="15"/>
    <n v="681.9"/>
  </r>
  <r>
    <x v="1"/>
    <x v="4"/>
    <x v="1"/>
    <x v="3"/>
    <x v="368"/>
    <n v="799.95"/>
    <x v="16"/>
    <n v="5599.6500000000005"/>
  </r>
  <r>
    <x v="10"/>
    <x v="1"/>
    <x v="1"/>
    <x v="2"/>
    <x v="264"/>
    <n v="79.989999999999995"/>
    <x v="17"/>
    <n v="1199.8499999999999"/>
  </r>
  <r>
    <x v="1"/>
    <x v="3"/>
    <x v="1"/>
    <x v="2"/>
    <x v="369"/>
    <n v="340.95"/>
    <x v="15"/>
    <n v="681.9"/>
  </r>
  <r>
    <x v="1"/>
    <x v="3"/>
    <x v="1"/>
    <x v="0"/>
    <x v="142"/>
    <n v="340.95"/>
    <x v="17"/>
    <n v="5114.25"/>
  </r>
  <r>
    <x v="7"/>
    <x v="0"/>
    <x v="1"/>
    <x v="2"/>
    <x v="370"/>
    <n v="340.95"/>
    <x v="2"/>
    <n v="4432.3499999999995"/>
  </r>
  <r>
    <x v="9"/>
    <x v="4"/>
    <x v="0"/>
    <x v="4"/>
    <x v="332"/>
    <n v="799.95"/>
    <x v="17"/>
    <n v="11999.25"/>
  </r>
  <r>
    <x v="11"/>
    <x v="4"/>
    <x v="2"/>
    <x v="0"/>
    <x v="371"/>
    <n v="799.95"/>
    <x v="4"/>
    <n v="4799.7000000000007"/>
  </r>
  <r>
    <x v="5"/>
    <x v="4"/>
    <x v="3"/>
    <x v="2"/>
    <x v="32"/>
    <n v="799.95"/>
    <x v="10"/>
    <n v="11199.300000000001"/>
  </r>
  <r>
    <x v="5"/>
    <x v="4"/>
    <x v="3"/>
    <x v="1"/>
    <x v="217"/>
    <n v="799.95"/>
    <x v="17"/>
    <n v="11999.25"/>
  </r>
  <r>
    <x v="2"/>
    <x v="1"/>
    <x v="0"/>
    <x v="3"/>
    <x v="372"/>
    <n v="79.989999999999995"/>
    <x v="12"/>
    <n v="79.989999999999995"/>
  </r>
  <r>
    <x v="11"/>
    <x v="2"/>
    <x v="2"/>
    <x v="1"/>
    <x v="286"/>
    <n v="168.95"/>
    <x v="2"/>
    <n v="2196.35"/>
  </r>
  <r>
    <x v="1"/>
    <x v="2"/>
    <x v="1"/>
    <x v="0"/>
    <x v="152"/>
    <n v="168.95"/>
    <x v="5"/>
    <n v="1520.55"/>
  </r>
  <r>
    <x v="7"/>
    <x v="1"/>
    <x v="1"/>
    <x v="0"/>
    <x v="26"/>
    <n v="79.989999999999995"/>
    <x v="14"/>
    <n v="799.9"/>
  </r>
  <r>
    <x v="8"/>
    <x v="3"/>
    <x v="2"/>
    <x v="3"/>
    <x v="373"/>
    <n v="340.95"/>
    <x v="5"/>
    <n v="3068.5499999999997"/>
  </r>
  <r>
    <x v="1"/>
    <x v="4"/>
    <x v="1"/>
    <x v="1"/>
    <x v="143"/>
    <n v="799.95"/>
    <x v="10"/>
    <n v="11199.300000000001"/>
  </r>
  <r>
    <x v="8"/>
    <x v="2"/>
    <x v="2"/>
    <x v="3"/>
    <x v="112"/>
    <n v="168.95"/>
    <x v="12"/>
    <n v="168.95"/>
  </r>
  <r>
    <x v="10"/>
    <x v="0"/>
    <x v="1"/>
    <x v="4"/>
    <x v="374"/>
    <n v="340.95"/>
    <x v="18"/>
    <n v="1704.75"/>
  </r>
  <r>
    <x v="11"/>
    <x v="0"/>
    <x v="2"/>
    <x v="3"/>
    <x v="81"/>
    <n v="340.95"/>
    <x v="15"/>
    <n v="681.9"/>
  </r>
  <r>
    <x v="8"/>
    <x v="3"/>
    <x v="2"/>
    <x v="4"/>
    <x v="322"/>
    <n v="340.95"/>
    <x v="4"/>
    <n v="2045.6999999999998"/>
  </r>
  <r>
    <x v="11"/>
    <x v="0"/>
    <x v="2"/>
    <x v="4"/>
    <x v="375"/>
    <n v="340.95"/>
    <x v="14"/>
    <n v="3409.5"/>
  </r>
  <r>
    <x v="0"/>
    <x v="3"/>
    <x v="0"/>
    <x v="0"/>
    <x v="142"/>
    <n v="340.95"/>
    <x v="16"/>
    <n v="2386.65"/>
  </r>
  <r>
    <x v="11"/>
    <x v="4"/>
    <x v="2"/>
    <x v="4"/>
    <x v="276"/>
    <n v="799.95"/>
    <x v="16"/>
    <n v="5599.6500000000005"/>
  </r>
  <r>
    <x v="4"/>
    <x v="1"/>
    <x v="0"/>
    <x v="0"/>
    <x v="131"/>
    <n v="79.989999999999995"/>
    <x v="8"/>
    <n v="639.91999999999996"/>
  </r>
  <r>
    <x v="6"/>
    <x v="2"/>
    <x v="3"/>
    <x v="4"/>
    <x v="201"/>
    <n v="168.95"/>
    <x v="17"/>
    <n v="2534.25"/>
  </r>
  <r>
    <x v="3"/>
    <x v="3"/>
    <x v="2"/>
    <x v="3"/>
    <x v="209"/>
    <n v="340.95"/>
    <x v="4"/>
    <n v="2045.6999999999998"/>
  </r>
  <r>
    <x v="6"/>
    <x v="4"/>
    <x v="3"/>
    <x v="4"/>
    <x v="376"/>
    <n v="799.95"/>
    <x v="15"/>
    <n v="1599.9"/>
  </r>
  <r>
    <x v="6"/>
    <x v="2"/>
    <x v="3"/>
    <x v="2"/>
    <x v="377"/>
    <n v="168.95"/>
    <x v="3"/>
    <n v="675.8"/>
  </r>
  <r>
    <x v="8"/>
    <x v="0"/>
    <x v="2"/>
    <x v="1"/>
    <x v="258"/>
    <n v="340.95"/>
    <x v="17"/>
    <n v="5114.25"/>
  </r>
  <r>
    <x v="11"/>
    <x v="1"/>
    <x v="2"/>
    <x v="4"/>
    <x v="378"/>
    <n v="79.989999999999995"/>
    <x v="18"/>
    <n v="399.95"/>
  </r>
  <r>
    <x v="10"/>
    <x v="2"/>
    <x v="1"/>
    <x v="0"/>
    <x v="379"/>
    <n v="168.95"/>
    <x v="17"/>
    <n v="2534.25"/>
  </r>
  <r>
    <x v="9"/>
    <x v="4"/>
    <x v="0"/>
    <x v="3"/>
    <x v="136"/>
    <n v="799.95"/>
    <x v="5"/>
    <n v="7199.55"/>
  </r>
  <r>
    <x v="6"/>
    <x v="3"/>
    <x v="3"/>
    <x v="2"/>
    <x v="371"/>
    <n v="340.95"/>
    <x v="2"/>
    <n v="4432.3499999999995"/>
  </r>
  <r>
    <x v="11"/>
    <x v="2"/>
    <x v="2"/>
    <x v="3"/>
    <x v="224"/>
    <n v="168.95"/>
    <x v="18"/>
    <n v="844.75"/>
  </r>
  <r>
    <x v="6"/>
    <x v="1"/>
    <x v="3"/>
    <x v="4"/>
    <x v="188"/>
    <n v="79.989999999999995"/>
    <x v="6"/>
    <n v="879.89"/>
  </r>
  <r>
    <x v="0"/>
    <x v="2"/>
    <x v="0"/>
    <x v="1"/>
    <x v="380"/>
    <n v="168.95"/>
    <x v="1"/>
    <n v="506.84999999999997"/>
  </r>
  <r>
    <x v="2"/>
    <x v="3"/>
    <x v="0"/>
    <x v="4"/>
    <x v="213"/>
    <n v="340.95"/>
    <x v="2"/>
    <n v="4432.3499999999995"/>
  </r>
  <r>
    <x v="1"/>
    <x v="1"/>
    <x v="1"/>
    <x v="0"/>
    <x v="136"/>
    <n v="79.989999999999995"/>
    <x v="7"/>
    <n v="1599.8"/>
  </r>
  <r>
    <x v="11"/>
    <x v="3"/>
    <x v="2"/>
    <x v="1"/>
    <x v="216"/>
    <n v="340.95"/>
    <x v="8"/>
    <n v="2727.6"/>
  </r>
  <r>
    <x v="5"/>
    <x v="2"/>
    <x v="3"/>
    <x v="3"/>
    <x v="185"/>
    <n v="168.95"/>
    <x v="17"/>
    <n v="2534.25"/>
  </r>
  <r>
    <x v="8"/>
    <x v="0"/>
    <x v="2"/>
    <x v="3"/>
    <x v="134"/>
    <n v="340.95"/>
    <x v="16"/>
    <n v="2386.65"/>
  </r>
  <r>
    <x v="0"/>
    <x v="1"/>
    <x v="0"/>
    <x v="1"/>
    <x v="204"/>
    <n v="79.989999999999995"/>
    <x v="6"/>
    <n v="879.89"/>
  </r>
  <r>
    <x v="1"/>
    <x v="4"/>
    <x v="1"/>
    <x v="0"/>
    <x v="121"/>
    <n v="799.95"/>
    <x v="5"/>
    <n v="7199.55"/>
  </r>
  <r>
    <x v="10"/>
    <x v="4"/>
    <x v="1"/>
    <x v="3"/>
    <x v="381"/>
    <n v="799.95"/>
    <x v="6"/>
    <n v="8799.4500000000007"/>
  </r>
  <r>
    <x v="11"/>
    <x v="0"/>
    <x v="2"/>
    <x v="4"/>
    <x v="382"/>
    <n v="340.95"/>
    <x v="18"/>
    <n v="1704.75"/>
  </r>
  <r>
    <x v="2"/>
    <x v="0"/>
    <x v="0"/>
    <x v="0"/>
    <x v="134"/>
    <n v="340.95"/>
    <x v="17"/>
    <n v="5114.25"/>
  </r>
  <r>
    <x v="8"/>
    <x v="0"/>
    <x v="2"/>
    <x v="4"/>
    <x v="353"/>
    <n v="340.95"/>
    <x v="6"/>
    <n v="3750.45"/>
  </r>
  <r>
    <x v="10"/>
    <x v="1"/>
    <x v="1"/>
    <x v="0"/>
    <x v="136"/>
    <n v="79.989999999999995"/>
    <x v="17"/>
    <n v="1199.8499999999999"/>
  </r>
  <r>
    <x v="1"/>
    <x v="1"/>
    <x v="1"/>
    <x v="0"/>
    <x v="91"/>
    <n v="79.989999999999995"/>
    <x v="8"/>
    <n v="639.91999999999996"/>
  </r>
  <r>
    <x v="1"/>
    <x v="0"/>
    <x v="1"/>
    <x v="0"/>
    <x v="100"/>
    <n v="340.95"/>
    <x v="8"/>
    <n v="2727.6"/>
  </r>
  <r>
    <x v="5"/>
    <x v="2"/>
    <x v="3"/>
    <x v="1"/>
    <x v="304"/>
    <n v="168.95"/>
    <x v="14"/>
    <n v="1689.5"/>
  </r>
  <r>
    <x v="8"/>
    <x v="3"/>
    <x v="2"/>
    <x v="0"/>
    <x v="383"/>
    <n v="340.95"/>
    <x v="13"/>
    <n v="5455.2"/>
  </r>
  <r>
    <x v="0"/>
    <x v="1"/>
    <x v="0"/>
    <x v="2"/>
    <x v="384"/>
    <n v="79.989999999999995"/>
    <x v="0"/>
    <n v="959.87999999999988"/>
  </r>
  <r>
    <x v="1"/>
    <x v="0"/>
    <x v="1"/>
    <x v="2"/>
    <x v="385"/>
    <n v="340.95"/>
    <x v="14"/>
    <n v="3409.5"/>
  </r>
  <r>
    <x v="6"/>
    <x v="2"/>
    <x v="3"/>
    <x v="1"/>
    <x v="357"/>
    <n v="168.95"/>
    <x v="8"/>
    <n v="1351.6"/>
  </r>
  <r>
    <x v="4"/>
    <x v="4"/>
    <x v="0"/>
    <x v="1"/>
    <x v="65"/>
    <n v="799.95"/>
    <x v="6"/>
    <n v="8799.4500000000007"/>
  </r>
  <r>
    <x v="10"/>
    <x v="1"/>
    <x v="1"/>
    <x v="4"/>
    <x v="168"/>
    <n v="79.989999999999995"/>
    <x v="10"/>
    <n v="1119.8599999999999"/>
  </r>
  <r>
    <x v="2"/>
    <x v="1"/>
    <x v="0"/>
    <x v="4"/>
    <x v="258"/>
    <n v="79.989999999999995"/>
    <x v="10"/>
    <n v="1119.8599999999999"/>
  </r>
  <r>
    <x v="7"/>
    <x v="1"/>
    <x v="1"/>
    <x v="4"/>
    <x v="226"/>
    <n v="79.989999999999995"/>
    <x v="6"/>
    <n v="879.89"/>
  </r>
  <r>
    <x v="1"/>
    <x v="1"/>
    <x v="1"/>
    <x v="0"/>
    <x v="194"/>
    <n v="79.989999999999995"/>
    <x v="0"/>
    <n v="959.87999999999988"/>
  </r>
  <r>
    <x v="4"/>
    <x v="2"/>
    <x v="0"/>
    <x v="2"/>
    <x v="386"/>
    <n v="168.95"/>
    <x v="5"/>
    <n v="1520.55"/>
  </r>
  <r>
    <x v="9"/>
    <x v="1"/>
    <x v="0"/>
    <x v="4"/>
    <x v="321"/>
    <n v="79.989999999999995"/>
    <x v="16"/>
    <n v="559.92999999999995"/>
  </r>
  <r>
    <x v="9"/>
    <x v="0"/>
    <x v="0"/>
    <x v="0"/>
    <x v="156"/>
    <n v="340.95"/>
    <x v="19"/>
    <n v="5796.15"/>
  </r>
  <r>
    <x v="2"/>
    <x v="1"/>
    <x v="0"/>
    <x v="3"/>
    <x v="30"/>
    <n v="79.989999999999995"/>
    <x v="1"/>
    <n v="239.96999999999997"/>
  </r>
  <r>
    <x v="9"/>
    <x v="2"/>
    <x v="0"/>
    <x v="2"/>
    <x v="10"/>
    <n v="168.95"/>
    <x v="16"/>
    <n v="1182.6499999999999"/>
  </r>
  <r>
    <x v="4"/>
    <x v="4"/>
    <x v="0"/>
    <x v="0"/>
    <x v="221"/>
    <n v="799.95"/>
    <x v="10"/>
    <n v="11199.300000000001"/>
  </r>
  <r>
    <x v="6"/>
    <x v="1"/>
    <x v="3"/>
    <x v="3"/>
    <x v="114"/>
    <n v="79.989999999999995"/>
    <x v="3"/>
    <n v="319.95999999999998"/>
  </r>
  <r>
    <x v="9"/>
    <x v="2"/>
    <x v="0"/>
    <x v="4"/>
    <x v="265"/>
    <n v="168.95"/>
    <x v="17"/>
    <n v="2534.25"/>
  </r>
  <r>
    <x v="7"/>
    <x v="0"/>
    <x v="1"/>
    <x v="4"/>
    <x v="6"/>
    <n v="340.95"/>
    <x v="16"/>
    <n v="2386.65"/>
  </r>
  <r>
    <x v="1"/>
    <x v="3"/>
    <x v="1"/>
    <x v="4"/>
    <x v="297"/>
    <n v="340.95"/>
    <x v="10"/>
    <n v="4773.3"/>
  </r>
  <r>
    <x v="8"/>
    <x v="0"/>
    <x v="2"/>
    <x v="3"/>
    <x v="387"/>
    <n v="340.95"/>
    <x v="4"/>
    <n v="2045.6999999999998"/>
  </r>
  <r>
    <x v="3"/>
    <x v="3"/>
    <x v="2"/>
    <x v="2"/>
    <x v="388"/>
    <n v="340.95"/>
    <x v="5"/>
    <n v="3068.5499999999997"/>
  </r>
  <r>
    <x v="3"/>
    <x v="0"/>
    <x v="1"/>
    <x v="4"/>
    <x v="389"/>
    <n v="340.95"/>
    <x v="3"/>
    <n v="1363.8"/>
  </r>
  <r>
    <x v="11"/>
    <x v="1"/>
    <x v="2"/>
    <x v="1"/>
    <x v="178"/>
    <n v="79.989999999999995"/>
    <x v="15"/>
    <n v="159.97999999999999"/>
  </r>
  <r>
    <x v="3"/>
    <x v="2"/>
    <x v="1"/>
    <x v="4"/>
    <x v="105"/>
    <n v="168.95"/>
    <x v="2"/>
    <n v="2196.35"/>
  </r>
  <r>
    <x v="2"/>
    <x v="0"/>
    <x v="0"/>
    <x v="2"/>
    <x v="390"/>
    <n v="340.95"/>
    <x v="5"/>
    <n v="3068.5499999999997"/>
  </r>
  <r>
    <x v="11"/>
    <x v="4"/>
    <x v="2"/>
    <x v="0"/>
    <x v="246"/>
    <n v="799.95"/>
    <x v="6"/>
    <n v="8799.4500000000007"/>
  </r>
  <r>
    <x v="1"/>
    <x v="2"/>
    <x v="1"/>
    <x v="0"/>
    <x v="391"/>
    <n v="168.95"/>
    <x v="4"/>
    <n v="1013.6999999999999"/>
  </r>
  <r>
    <x v="5"/>
    <x v="1"/>
    <x v="3"/>
    <x v="3"/>
    <x v="261"/>
    <n v="79.989999999999995"/>
    <x v="8"/>
    <n v="639.91999999999996"/>
  </r>
  <r>
    <x v="2"/>
    <x v="3"/>
    <x v="0"/>
    <x v="4"/>
    <x v="332"/>
    <n v="340.95"/>
    <x v="1"/>
    <n v="1022.8499999999999"/>
  </r>
  <r>
    <x v="11"/>
    <x v="1"/>
    <x v="2"/>
    <x v="0"/>
    <x v="103"/>
    <n v="79.989999999999995"/>
    <x v="5"/>
    <n v="719.91"/>
  </r>
  <r>
    <x v="1"/>
    <x v="4"/>
    <x v="1"/>
    <x v="1"/>
    <x v="243"/>
    <n v="799.95"/>
    <x v="14"/>
    <n v="7999.5"/>
  </r>
  <r>
    <x v="11"/>
    <x v="4"/>
    <x v="2"/>
    <x v="1"/>
    <x v="6"/>
    <n v="799.95"/>
    <x v="18"/>
    <n v="3999.75"/>
  </r>
  <r>
    <x v="7"/>
    <x v="3"/>
    <x v="1"/>
    <x v="2"/>
    <x v="326"/>
    <n v="340.95"/>
    <x v="6"/>
    <n v="3750.45"/>
  </r>
  <r>
    <x v="3"/>
    <x v="2"/>
    <x v="1"/>
    <x v="0"/>
    <x v="92"/>
    <n v="168.95"/>
    <x v="10"/>
    <n v="2365.2999999999997"/>
  </r>
  <r>
    <x v="10"/>
    <x v="0"/>
    <x v="1"/>
    <x v="3"/>
    <x v="27"/>
    <n v="340.95"/>
    <x v="1"/>
    <n v="1022.8499999999999"/>
  </r>
  <r>
    <x v="10"/>
    <x v="2"/>
    <x v="1"/>
    <x v="1"/>
    <x v="94"/>
    <n v="168.95"/>
    <x v="2"/>
    <n v="2196.35"/>
  </r>
  <r>
    <x v="2"/>
    <x v="4"/>
    <x v="0"/>
    <x v="3"/>
    <x v="392"/>
    <n v="799.95"/>
    <x v="5"/>
    <n v="7199.55"/>
  </r>
  <r>
    <x v="2"/>
    <x v="1"/>
    <x v="0"/>
    <x v="1"/>
    <x v="83"/>
    <n v="79.989999999999995"/>
    <x v="0"/>
    <n v="959.87999999999988"/>
  </r>
  <r>
    <x v="5"/>
    <x v="1"/>
    <x v="3"/>
    <x v="2"/>
    <x v="393"/>
    <n v="79.989999999999995"/>
    <x v="8"/>
    <n v="639.91999999999996"/>
  </r>
  <r>
    <x v="4"/>
    <x v="4"/>
    <x v="0"/>
    <x v="0"/>
    <x v="5"/>
    <n v="799.95"/>
    <x v="7"/>
    <n v="15999"/>
  </r>
  <r>
    <x v="3"/>
    <x v="3"/>
    <x v="2"/>
    <x v="3"/>
    <x v="391"/>
    <n v="340.95"/>
    <x v="15"/>
    <n v="681.9"/>
  </r>
  <r>
    <x v="6"/>
    <x v="4"/>
    <x v="3"/>
    <x v="3"/>
    <x v="55"/>
    <n v="799.95"/>
    <x v="2"/>
    <n v="10399.35"/>
  </r>
  <r>
    <x v="8"/>
    <x v="4"/>
    <x v="2"/>
    <x v="4"/>
    <x v="394"/>
    <n v="799.95"/>
    <x v="12"/>
    <n v="799.95"/>
  </r>
  <r>
    <x v="10"/>
    <x v="4"/>
    <x v="1"/>
    <x v="4"/>
    <x v="395"/>
    <n v="799.95"/>
    <x v="4"/>
    <n v="4799.7000000000007"/>
  </r>
  <r>
    <x v="8"/>
    <x v="0"/>
    <x v="2"/>
    <x v="2"/>
    <x v="272"/>
    <n v="340.95"/>
    <x v="17"/>
    <n v="5114.25"/>
  </r>
  <r>
    <x v="0"/>
    <x v="2"/>
    <x v="0"/>
    <x v="2"/>
    <x v="396"/>
    <n v="168.95"/>
    <x v="1"/>
    <n v="506.84999999999997"/>
  </r>
  <r>
    <x v="1"/>
    <x v="2"/>
    <x v="1"/>
    <x v="0"/>
    <x v="397"/>
    <n v="168.95"/>
    <x v="19"/>
    <n v="2872.1499999999996"/>
  </r>
  <r>
    <x v="7"/>
    <x v="2"/>
    <x v="1"/>
    <x v="4"/>
    <x v="398"/>
    <n v="168.95"/>
    <x v="0"/>
    <n v="2027.3999999999999"/>
  </r>
  <r>
    <x v="1"/>
    <x v="0"/>
    <x v="1"/>
    <x v="3"/>
    <x v="399"/>
    <n v="340.95"/>
    <x v="18"/>
    <n v="1704.75"/>
  </r>
  <r>
    <x v="11"/>
    <x v="1"/>
    <x v="2"/>
    <x v="3"/>
    <x v="185"/>
    <n v="79.989999999999995"/>
    <x v="0"/>
    <n v="959.87999999999988"/>
  </r>
  <r>
    <x v="6"/>
    <x v="1"/>
    <x v="3"/>
    <x v="0"/>
    <x v="400"/>
    <n v="79.989999999999995"/>
    <x v="6"/>
    <n v="879.89"/>
  </r>
  <r>
    <x v="1"/>
    <x v="1"/>
    <x v="1"/>
    <x v="0"/>
    <x v="188"/>
    <n v="79.989999999999995"/>
    <x v="5"/>
    <n v="719.91"/>
  </r>
  <r>
    <x v="10"/>
    <x v="4"/>
    <x v="1"/>
    <x v="0"/>
    <x v="72"/>
    <n v="799.95"/>
    <x v="10"/>
    <n v="11199.300000000001"/>
  </r>
  <r>
    <x v="8"/>
    <x v="0"/>
    <x v="2"/>
    <x v="4"/>
    <x v="401"/>
    <n v="340.95"/>
    <x v="18"/>
    <n v="1704.75"/>
  </r>
  <r>
    <x v="3"/>
    <x v="4"/>
    <x v="1"/>
    <x v="3"/>
    <x v="235"/>
    <n v="799.95"/>
    <x v="15"/>
    <n v="1599.9"/>
  </r>
  <r>
    <x v="1"/>
    <x v="4"/>
    <x v="1"/>
    <x v="1"/>
    <x v="195"/>
    <n v="799.95"/>
    <x v="14"/>
    <n v="7999.5"/>
  </r>
  <r>
    <x v="0"/>
    <x v="0"/>
    <x v="0"/>
    <x v="4"/>
    <x v="362"/>
    <n v="340.95"/>
    <x v="3"/>
    <n v="1363.8"/>
  </r>
  <r>
    <x v="6"/>
    <x v="3"/>
    <x v="3"/>
    <x v="0"/>
    <x v="402"/>
    <n v="340.95"/>
    <x v="8"/>
    <n v="2727.6"/>
  </r>
  <r>
    <x v="4"/>
    <x v="1"/>
    <x v="0"/>
    <x v="0"/>
    <x v="403"/>
    <n v="79.989999999999995"/>
    <x v="8"/>
    <n v="639.91999999999996"/>
  </r>
  <r>
    <x v="10"/>
    <x v="3"/>
    <x v="1"/>
    <x v="4"/>
    <x v="179"/>
    <n v="340.95"/>
    <x v="18"/>
    <n v="1704.75"/>
  </r>
  <r>
    <x v="2"/>
    <x v="1"/>
    <x v="0"/>
    <x v="3"/>
    <x v="39"/>
    <n v="79.989999999999995"/>
    <x v="4"/>
    <n v="479.93999999999994"/>
  </r>
  <r>
    <x v="7"/>
    <x v="2"/>
    <x v="1"/>
    <x v="3"/>
    <x v="225"/>
    <n v="168.95"/>
    <x v="16"/>
    <n v="1182.6499999999999"/>
  </r>
  <r>
    <x v="2"/>
    <x v="4"/>
    <x v="0"/>
    <x v="1"/>
    <x v="347"/>
    <n v="799.95"/>
    <x v="3"/>
    <n v="3199.8"/>
  </r>
  <r>
    <x v="10"/>
    <x v="3"/>
    <x v="1"/>
    <x v="0"/>
    <x v="142"/>
    <n v="340.95"/>
    <x v="0"/>
    <n v="4091.3999999999996"/>
  </r>
  <r>
    <x v="1"/>
    <x v="1"/>
    <x v="1"/>
    <x v="3"/>
    <x v="404"/>
    <n v="79.989999999999995"/>
    <x v="3"/>
    <n v="319.95999999999998"/>
  </r>
  <r>
    <x v="6"/>
    <x v="4"/>
    <x v="3"/>
    <x v="3"/>
    <x v="405"/>
    <n v="799.95"/>
    <x v="16"/>
    <n v="5599.6500000000005"/>
  </r>
  <r>
    <x v="1"/>
    <x v="0"/>
    <x v="1"/>
    <x v="2"/>
    <x v="226"/>
    <n v="340.95"/>
    <x v="8"/>
    <n v="2727.6"/>
  </r>
  <r>
    <x v="6"/>
    <x v="4"/>
    <x v="3"/>
    <x v="2"/>
    <x v="30"/>
    <n v="799.95"/>
    <x v="18"/>
    <n v="3999.75"/>
  </r>
  <r>
    <x v="1"/>
    <x v="2"/>
    <x v="1"/>
    <x v="2"/>
    <x v="232"/>
    <n v="168.95"/>
    <x v="2"/>
    <n v="2196.35"/>
  </r>
  <r>
    <x v="8"/>
    <x v="3"/>
    <x v="2"/>
    <x v="2"/>
    <x v="175"/>
    <n v="340.95"/>
    <x v="1"/>
    <n v="1022.8499999999999"/>
  </r>
  <r>
    <x v="11"/>
    <x v="0"/>
    <x v="2"/>
    <x v="0"/>
    <x v="123"/>
    <n v="340.95"/>
    <x v="5"/>
    <n v="3068.5499999999997"/>
  </r>
  <r>
    <x v="1"/>
    <x v="4"/>
    <x v="1"/>
    <x v="1"/>
    <x v="406"/>
    <n v="799.95"/>
    <x v="14"/>
    <n v="7999.5"/>
  </r>
  <r>
    <x v="11"/>
    <x v="1"/>
    <x v="2"/>
    <x v="2"/>
    <x v="349"/>
    <n v="79.989999999999995"/>
    <x v="6"/>
    <n v="879.89"/>
  </r>
  <r>
    <x v="10"/>
    <x v="0"/>
    <x v="1"/>
    <x v="3"/>
    <x v="55"/>
    <n v="340.95"/>
    <x v="16"/>
    <n v="2386.65"/>
  </r>
  <r>
    <x v="4"/>
    <x v="4"/>
    <x v="0"/>
    <x v="0"/>
    <x v="407"/>
    <n v="799.95"/>
    <x v="14"/>
    <n v="7999.5"/>
  </r>
  <r>
    <x v="6"/>
    <x v="3"/>
    <x v="3"/>
    <x v="3"/>
    <x v="133"/>
    <n v="340.95"/>
    <x v="6"/>
    <n v="3750.45"/>
  </r>
  <r>
    <x v="3"/>
    <x v="4"/>
    <x v="1"/>
    <x v="0"/>
    <x v="53"/>
    <n v="799.95"/>
    <x v="8"/>
    <n v="6399.6"/>
  </r>
  <r>
    <x v="4"/>
    <x v="0"/>
    <x v="0"/>
    <x v="4"/>
    <x v="408"/>
    <n v="340.95"/>
    <x v="0"/>
    <n v="4091.3999999999996"/>
  </r>
  <r>
    <x v="2"/>
    <x v="4"/>
    <x v="0"/>
    <x v="0"/>
    <x v="359"/>
    <n v="799.95"/>
    <x v="9"/>
    <n v="14399.1"/>
  </r>
  <r>
    <x v="2"/>
    <x v="0"/>
    <x v="0"/>
    <x v="1"/>
    <x v="404"/>
    <n v="340.95"/>
    <x v="2"/>
    <n v="4432.3499999999995"/>
  </r>
  <r>
    <x v="6"/>
    <x v="3"/>
    <x v="3"/>
    <x v="2"/>
    <x v="43"/>
    <n v="340.95"/>
    <x v="0"/>
    <n v="4091.3999999999996"/>
  </r>
  <r>
    <x v="0"/>
    <x v="0"/>
    <x v="0"/>
    <x v="2"/>
    <x v="402"/>
    <n v="340.95"/>
    <x v="5"/>
    <n v="3068.5499999999997"/>
  </r>
  <r>
    <x v="1"/>
    <x v="3"/>
    <x v="1"/>
    <x v="3"/>
    <x v="409"/>
    <n v="340.95"/>
    <x v="14"/>
    <n v="3409.5"/>
  </r>
  <r>
    <x v="6"/>
    <x v="4"/>
    <x v="3"/>
    <x v="0"/>
    <x v="385"/>
    <n v="799.95"/>
    <x v="11"/>
    <n v="15199.050000000001"/>
  </r>
  <r>
    <x v="3"/>
    <x v="3"/>
    <x v="2"/>
    <x v="1"/>
    <x v="40"/>
    <n v="340.95"/>
    <x v="16"/>
    <n v="2386.65"/>
  </r>
  <r>
    <x v="2"/>
    <x v="0"/>
    <x v="0"/>
    <x v="3"/>
    <x v="410"/>
    <n v="340.95"/>
    <x v="3"/>
    <n v="1363.8"/>
  </r>
  <r>
    <x v="11"/>
    <x v="2"/>
    <x v="2"/>
    <x v="2"/>
    <x v="411"/>
    <n v="168.95"/>
    <x v="0"/>
    <n v="2027.3999999999999"/>
  </r>
  <r>
    <x v="1"/>
    <x v="2"/>
    <x v="1"/>
    <x v="1"/>
    <x v="122"/>
    <n v="168.95"/>
    <x v="16"/>
    <n v="1182.6499999999999"/>
  </r>
  <r>
    <x v="1"/>
    <x v="4"/>
    <x v="1"/>
    <x v="3"/>
    <x v="198"/>
    <n v="799.95"/>
    <x v="14"/>
    <n v="7999.5"/>
  </r>
  <r>
    <x v="3"/>
    <x v="3"/>
    <x v="2"/>
    <x v="0"/>
    <x v="412"/>
    <n v="340.95"/>
    <x v="17"/>
    <n v="5114.25"/>
  </r>
  <r>
    <x v="9"/>
    <x v="1"/>
    <x v="0"/>
    <x v="4"/>
    <x v="94"/>
    <n v="79.989999999999995"/>
    <x v="2"/>
    <n v="1039.8699999999999"/>
  </r>
  <r>
    <x v="3"/>
    <x v="1"/>
    <x v="1"/>
    <x v="2"/>
    <x v="269"/>
    <n v="79.989999999999995"/>
    <x v="0"/>
    <n v="959.87999999999988"/>
  </r>
  <r>
    <x v="3"/>
    <x v="0"/>
    <x v="1"/>
    <x v="2"/>
    <x v="249"/>
    <n v="340.95"/>
    <x v="6"/>
    <n v="3750.45"/>
  </r>
  <r>
    <x v="10"/>
    <x v="1"/>
    <x v="1"/>
    <x v="3"/>
    <x v="71"/>
    <n v="79.989999999999995"/>
    <x v="3"/>
    <n v="319.95999999999998"/>
  </r>
  <r>
    <x v="10"/>
    <x v="1"/>
    <x v="1"/>
    <x v="1"/>
    <x v="224"/>
    <n v="79.989999999999995"/>
    <x v="14"/>
    <n v="799.9"/>
  </r>
  <r>
    <x v="6"/>
    <x v="3"/>
    <x v="3"/>
    <x v="1"/>
    <x v="413"/>
    <n v="340.95"/>
    <x v="15"/>
    <n v="681.9"/>
  </r>
  <r>
    <x v="9"/>
    <x v="1"/>
    <x v="0"/>
    <x v="1"/>
    <x v="52"/>
    <n v="79.989999999999995"/>
    <x v="17"/>
    <n v="1199.8499999999999"/>
  </r>
  <r>
    <x v="4"/>
    <x v="2"/>
    <x v="0"/>
    <x v="2"/>
    <x v="29"/>
    <n v="168.95"/>
    <x v="1"/>
    <n v="506.84999999999997"/>
  </r>
  <r>
    <x v="11"/>
    <x v="0"/>
    <x v="2"/>
    <x v="1"/>
    <x v="208"/>
    <n v="340.95"/>
    <x v="6"/>
    <n v="3750.45"/>
  </r>
  <r>
    <x v="0"/>
    <x v="4"/>
    <x v="0"/>
    <x v="2"/>
    <x v="200"/>
    <n v="799.95"/>
    <x v="2"/>
    <n v="10399.35"/>
  </r>
  <r>
    <x v="10"/>
    <x v="3"/>
    <x v="1"/>
    <x v="0"/>
    <x v="414"/>
    <n v="340.95"/>
    <x v="2"/>
    <n v="4432.3499999999995"/>
  </r>
  <r>
    <x v="1"/>
    <x v="4"/>
    <x v="1"/>
    <x v="4"/>
    <x v="388"/>
    <n v="799.95"/>
    <x v="16"/>
    <n v="5599.6500000000005"/>
  </r>
  <r>
    <x v="2"/>
    <x v="4"/>
    <x v="0"/>
    <x v="1"/>
    <x v="139"/>
    <n v="799.95"/>
    <x v="8"/>
    <n v="6399.6"/>
  </r>
  <r>
    <x v="2"/>
    <x v="4"/>
    <x v="0"/>
    <x v="2"/>
    <x v="415"/>
    <n v="799.95"/>
    <x v="8"/>
    <n v="6399.6"/>
  </r>
  <r>
    <x v="11"/>
    <x v="4"/>
    <x v="2"/>
    <x v="1"/>
    <x v="227"/>
    <n v="799.95"/>
    <x v="18"/>
    <n v="3999.75"/>
  </r>
  <r>
    <x v="9"/>
    <x v="0"/>
    <x v="0"/>
    <x v="3"/>
    <x v="416"/>
    <n v="340.95"/>
    <x v="17"/>
    <n v="5114.25"/>
  </r>
  <r>
    <x v="6"/>
    <x v="2"/>
    <x v="3"/>
    <x v="3"/>
    <x v="285"/>
    <n v="168.95"/>
    <x v="3"/>
    <n v="675.8"/>
  </r>
  <r>
    <x v="9"/>
    <x v="0"/>
    <x v="0"/>
    <x v="0"/>
    <x v="110"/>
    <n v="340.95"/>
    <x v="6"/>
    <n v="3750.45"/>
  </r>
  <r>
    <x v="0"/>
    <x v="0"/>
    <x v="0"/>
    <x v="0"/>
    <x v="417"/>
    <n v="340.95"/>
    <x v="7"/>
    <n v="6819"/>
  </r>
  <r>
    <x v="11"/>
    <x v="2"/>
    <x v="2"/>
    <x v="1"/>
    <x v="125"/>
    <n v="168.95"/>
    <x v="8"/>
    <n v="1351.6"/>
  </r>
  <r>
    <x v="1"/>
    <x v="2"/>
    <x v="1"/>
    <x v="0"/>
    <x v="359"/>
    <n v="168.95"/>
    <x v="7"/>
    <n v="3379"/>
  </r>
  <r>
    <x v="7"/>
    <x v="1"/>
    <x v="1"/>
    <x v="1"/>
    <x v="86"/>
    <n v="79.989999999999995"/>
    <x v="3"/>
    <n v="319.95999999999998"/>
  </r>
  <r>
    <x v="10"/>
    <x v="1"/>
    <x v="1"/>
    <x v="4"/>
    <x v="376"/>
    <n v="79.989999999999995"/>
    <x v="14"/>
    <n v="799.9"/>
  </r>
  <r>
    <x v="3"/>
    <x v="2"/>
    <x v="1"/>
    <x v="3"/>
    <x v="339"/>
    <n v="168.95"/>
    <x v="10"/>
    <n v="2365.2999999999997"/>
  </r>
  <r>
    <x v="0"/>
    <x v="0"/>
    <x v="0"/>
    <x v="1"/>
    <x v="104"/>
    <n v="340.95"/>
    <x v="14"/>
    <n v="3409.5"/>
  </r>
  <r>
    <x v="10"/>
    <x v="0"/>
    <x v="1"/>
    <x v="2"/>
    <x v="401"/>
    <n v="340.95"/>
    <x v="1"/>
    <n v="1022.8499999999999"/>
  </r>
  <r>
    <x v="1"/>
    <x v="0"/>
    <x v="1"/>
    <x v="1"/>
    <x v="101"/>
    <n v="340.95"/>
    <x v="5"/>
    <n v="3068.5499999999997"/>
  </r>
  <r>
    <x v="11"/>
    <x v="1"/>
    <x v="2"/>
    <x v="2"/>
    <x v="110"/>
    <n v="79.989999999999995"/>
    <x v="1"/>
    <n v="239.96999999999997"/>
  </r>
  <r>
    <x v="3"/>
    <x v="1"/>
    <x v="1"/>
    <x v="1"/>
    <x v="418"/>
    <n v="79.989999999999995"/>
    <x v="5"/>
    <n v="719.91"/>
  </r>
  <r>
    <x v="10"/>
    <x v="2"/>
    <x v="1"/>
    <x v="2"/>
    <x v="73"/>
    <n v="168.95"/>
    <x v="17"/>
    <n v="2534.25"/>
  </r>
  <r>
    <x v="11"/>
    <x v="2"/>
    <x v="2"/>
    <x v="2"/>
    <x v="419"/>
    <n v="168.95"/>
    <x v="0"/>
    <n v="2027.3999999999999"/>
  </r>
  <r>
    <x v="7"/>
    <x v="3"/>
    <x v="1"/>
    <x v="2"/>
    <x v="288"/>
    <n v="340.95"/>
    <x v="18"/>
    <n v="1704.75"/>
  </r>
  <r>
    <x v="0"/>
    <x v="1"/>
    <x v="0"/>
    <x v="2"/>
    <x v="420"/>
    <n v="79.989999999999995"/>
    <x v="15"/>
    <n v="159.97999999999999"/>
  </r>
  <r>
    <x v="3"/>
    <x v="3"/>
    <x v="2"/>
    <x v="2"/>
    <x v="18"/>
    <n v="340.95"/>
    <x v="14"/>
    <n v="3409.5"/>
  </r>
  <r>
    <x v="2"/>
    <x v="4"/>
    <x v="0"/>
    <x v="3"/>
    <x v="421"/>
    <n v="799.95"/>
    <x v="18"/>
    <n v="3999.75"/>
  </r>
  <r>
    <x v="5"/>
    <x v="3"/>
    <x v="3"/>
    <x v="1"/>
    <x v="422"/>
    <n v="340.95"/>
    <x v="4"/>
    <n v="2045.6999999999998"/>
  </r>
  <r>
    <x v="8"/>
    <x v="1"/>
    <x v="2"/>
    <x v="1"/>
    <x v="408"/>
    <n v="79.989999999999995"/>
    <x v="15"/>
    <n v="159.97999999999999"/>
  </r>
  <r>
    <x v="9"/>
    <x v="1"/>
    <x v="0"/>
    <x v="3"/>
    <x v="88"/>
    <n v="79.989999999999995"/>
    <x v="0"/>
    <n v="959.87999999999988"/>
  </r>
  <r>
    <x v="2"/>
    <x v="2"/>
    <x v="0"/>
    <x v="2"/>
    <x v="271"/>
    <n v="168.95"/>
    <x v="0"/>
    <n v="2027.3999999999999"/>
  </r>
  <r>
    <x v="8"/>
    <x v="3"/>
    <x v="2"/>
    <x v="1"/>
    <x v="408"/>
    <n v="340.95"/>
    <x v="15"/>
    <n v="681.9"/>
  </r>
  <r>
    <x v="9"/>
    <x v="2"/>
    <x v="0"/>
    <x v="1"/>
    <x v="26"/>
    <n v="168.95"/>
    <x v="12"/>
    <n v="168.95"/>
  </r>
  <r>
    <x v="0"/>
    <x v="0"/>
    <x v="0"/>
    <x v="3"/>
    <x v="166"/>
    <n v="340.95"/>
    <x v="18"/>
    <n v="1704.75"/>
  </r>
  <r>
    <x v="5"/>
    <x v="0"/>
    <x v="3"/>
    <x v="0"/>
    <x v="272"/>
    <n v="340.95"/>
    <x v="17"/>
    <n v="5114.25"/>
  </r>
  <r>
    <x v="0"/>
    <x v="0"/>
    <x v="0"/>
    <x v="3"/>
    <x v="423"/>
    <n v="340.95"/>
    <x v="1"/>
    <n v="1022.8499999999999"/>
  </r>
  <r>
    <x v="10"/>
    <x v="1"/>
    <x v="1"/>
    <x v="2"/>
    <x v="69"/>
    <n v="79.989999999999995"/>
    <x v="12"/>
    <n v="79.989999999999995"/>
  </r>
  <r>
    <x v="10"/>
    <x v="1"/>
    <x v="1"/>
    <x v="1"/>
    <x v="373"/>
    <n v="79.989999999999995"/>
    <x v="14"/>
    <n v="799.9"/>
  </r>
  <r>
    <x v="9"/>
    <x v="4"/>
    <x v="0"/>
    <x v="3"/>
    <x v="394"/>
    <n v="799.95"/>
    <x v="10"/>
    <n v="11199.300000000001"/>
  </r>
  <r>
    <x v="11"/>
    <x v="3"/>
    <x v="2"/>
    <x v="2"/>
    <x v="53"/>
    <n v="340.95"/>
    <x v="5"/>
    <n v="3068.5499999999997"/>
  </r>
  <r>
    <x v="8"/>
    <x v="0"/>
    <x v="2"/>
    <x v="1"/>
    <x v="71"/>
    <n v="340.95"/>
    <x v="12"/>
    <n v="340.95"/>
  </r>
  <r>
    <x v="1"/>
    <x v="4"/>
    <x v="1"/>
    <x v="1"/>
    <x v="424"/>
    <n v="799.95"/>
    <x v="1"/>
    <n v="2399.8500000000004"/>
  </r>
  <r>
    <x v="3"/>
    <x v="2"/>
    <x v="1"/>
    <x v="4"/>
    <x v="144"/>
    <n v="168.95"/>
    <x v="15"/>
    <n v="337.9"/>
  </r>
  <r>
    <x v="2"/>
    <x v="1"/>
    <x v="0"/>
    <x v="3"/>
    <x v="184"/>
    <n v="79.989999999999995"/>
    <x v="12"/>
    <n v="79.989999999999995"/>
  </r>
  <r>
    <x v="4"/>
    <x v="2"/>
    <x v="0"/>
    <x v="2"/>
    <x v="263"/>
    <n v="168.95"/>
    <x v="18"/>
    <n v="844.75"/>
  </r>
  <r>
    <x v="0"/>
    <x v="4"/>
    <x v="0"/>
    <x v="4"/>
    <x v="425"/>
    <n v="799.95"/>
    <x v="15"/>
    <n v="1599.9"/>
  </r>
  <r>
    <x v="10"/>
    <x v="0"/>
    <x v="1"/>
    <x v="2"/>
    <x v="24"/>
    <n v="340.95"/>
    <x v="17"/>
    <n v="5114.25"/>
  </r>
  <r>
    <x v="8"/>
    <x v="4"/>
    <x v="2"/>
    <x v="4"/>
    <x v="338"/>
    <n v="799.95"/>
    <x v="14"/>
    <n v="7999.5"/>
  </r>
  <r>
    <x v="5"/>
    <x v="2"/>
    <x v="3"/>
    <x v="3"/>
    <x v="352"/>
    <n v="168.95"/>
    <x v="10"/>
    <n v="2365.2999999999997"/>
  </r>
  <r>
    <x v="6"/>
    <x v="0"/>
    <x v="3"/>
    <x v="2"/>
    <x v="112"/>
    <n v="340.95"/>
    <x v="8"/>
    <n v="2727.6"/>
  </r>
  <r>
    <x v="1"/>
    <x v="4"/>
    <x v="1"/>
    <x v="2"/>
    <x v="41"/>
    <n v="799.95"/>
    <x v="1"/>
    <n v="2399.8500000000004"/>
  </r>
  <r>
    <x v="1"/>
    <x v="1"/>
    <x v="1"/>
    <x v="4"/>
    <x v="0"/>
    <n v="79.989999999999995"/>
    <x v="14"/>
    <n v="799.9"/>
  </r>
  <r>
    <x v="11"/>
    <x v="1"/>
    <x v="2"/>
    <x v="2"/>
    <x v="426"/>
    <n v="79.989999999999995"/>
    <x v="16"/>
    <n v="559.92999999999995"/>
  </r>
  <r>
    <x v="11"/>
    <x v="4"/>
    <x v="2"/>
    <x v="0"/>
    <x v="293"/>
    <n v="799.95"/>
    <x v="4"/>
    <n v="4799.7000000000007"/>
  </r>
  <r>
    <x v="2"/>
    <x v="4"/>
    <x v="0"/>
    <x v="2"/>
    <x v="427"/>
    <n v="799.95"/>
    <x v="5"/>
    <n v="7199.55"/>
  </r>
  <r>
    <x v="2"/>
    <x v="1"/>
    <x v="0"/>
    <x v="2"/>
    <x v="172"/>
    <n v="79.989999999999995"/>
    <x v="18"/>
    <n v="399.95"/>
  </r>
  <r>
    <x v="10"/>
    <x v="3"/>
    <x v="1"/>
    <x v="1"/>
    <x v="182"/>
    <n v="340.95"/>
    <x v="4"/>
    <n v="2045.6999999999998"/>
  </r>
  <r>
    <x v="11"/>
    <x v="0"/>
    <x v="2"/>
    <x v="4"/>
    <x v="317"/>
    <n v="340.95"/>
    <x v="10"/>
    <n v="4773.3"/>
  </r>
  <r>
    <x v="11"/>
    <x v="0"/>
    <x v="2"/>
    <x v="2"/>
    <x v="244"/>
    <n v="340.95"/>
    <x v="1"/>
    <n v="1022.8499999999999"/>
  </r>
  <r>
    <x v="10"/>
    <x v="0"/>
    <x v="1"/>
    <x v="2"/>
    <x v="55"/>
    <n v="340.95"/>
    <x v="15"/>
    <n v="681.9"/>
  </r>
  <r>
    <x v="10"/>
    <x v="4"/>
    <x v="1"/>
    <x v="1"/>
    <x v="295"/>
    <n v="799.95"/>
    <x v="15"/>
    <n v="1599.9"/>
  </r>
  <r>
    <x v="4"/>
    <x v="0"/>
    <x v="0"/>
    <x v="0"/>
    <x v="230"/>
    <n v="340.95"/>
    <x v="2"/>
    <n v="4432.3499999999995"/>
  </r>
  <r>
    <x v="10"/>
    <x v="0"/>
    <x v="1"/>
    <x v="4"/>
    <x v="302"/>
    <n v="340.95"/>
    <x v="17"/>
    <n v="5114.25"/>
  </r>
  <r>
    <x v="2"/>
    <x v="4"/>
    <x v="0"/>
    <x v="1"/>
    <x v="85"/>
    <n v="799.95"/>
    <x v="17"/>
    <n v="11999.25"/>
  </r>
  <r>
    <x v="2"/>
    <x v="0"/>
    <x v="0"/>
    <x v="2"/>
    <x v="42"/>
    <n v="340.95"/>
    <x v="17"/>
    <n v="5114.25"/>
  </r>
  <r>
    <x v="7"/>
    <x v="2"/>
    <x v="1"/>
    <x v="4"/>
    <x v="188"/>
    <n v="168.95"/>
    <x v="3"/>
    <n v="675.8"/>
  </r>
  <r>
    <x v="1"/>
    <x v="1"/>
    <x v="1"/>
    <x v="0"/>
    <x v="91"/>
    <n v="79.989999999999995"/>
    <x v="10"/>
    <n v="1119.8599999999999"/>
  </r>
  <r>
    <x v="3"/>
    <x v="3"/>
    <x v="2"/>
    <x v="4"/>
    <x v="254"/>
    <n v="340.95"/>
    <x v="12"/>
    <n v="340.95"/>
  </r>
  <r>
    <x v="10"/>
    <x v="2"/>
    <x v="1"/>
    <x v="3"/>
    <x v="428"/>
    <n v="168.95"/>
    <x v="3"/>
    <n v="675.8"/>
  </r>
  <r>
    <x v="11"/>
    <x v="2"/>
    <x v="2"/>
    <x v="0"/>
    <x v="49"/>
    <n v="168.95"/>
    <x v="5"/>
    <n v="1520.55"/>
  </r>
  <r>
    <x v="9"/>
    <x v="1"/>
    <x v="0"/>
    <x v="3"/>
    <x v="255"/>
    <n v="79.989999999999995"/>
    <x v="17"/>
    <n v="1199.8499999999999"/>
  </r>
  <r>
    <x v="2"/>
    <x v="2"/>
    <x v="0"/>
    <x v="1"/>
    <x v="282"/>
    <n v="168.95"/>
    <x v="1"/>
    <n v="506.84999999999997"/>
  </r>
  <r>
    <x v="3"/>
    <x v="1"/>
    <x v="1"/>
    <x v="1"/>
    <x v="170"/>
    <n v="79.989999999999995"/>
    <x v="15"/>
    <n v="159.97999999999999"/>
  </r>
  <r>
    <x v="0"/>
    <x v="0"/>
    <x v="0"/>
    <x v="2"/>
    <x v="396"/>
    <n v="340.95"/>
    <x v="17"/>
    <n v="5114.25"/>
  </r>
  <r>
    <x v="11"/>
    <x v="0"/>
    <x v="2"/>
    <x v="4"/>
    <x v="429"/>
    <n v="340.95"/>
    <x v="12"/>
    <n v="340.95"/>
  </r>
  <r>
    <x v="11"/>
    <x v="4"/>
    <x v="2"/>
    <x v="3"/>
    <x v="70"/>
    <n v="799.95"/>
    <x v="6"/>
    <n v="8799.4500000000007"/>
  </r>
  <r>
    <x v="2"/>
    <x v="0"/>
    <x v="0"/>
    <x v="3"/>
    <x v="135"/>
    <n v="340.95"/>
    <x v="1"/>
    <n v="1022.8499999999999"/>
  </r>
  <r>
    <x v="3"/>
    <x v="4"/>
    <x v="1"/>
    <x v="0"/>
    <x v="31"/>
    <n v="799.95"/>
    <x v="8"/>
    <n v="6399.6"/>
  </r>
  <r>
    <x v="5"/>
    <x v="3"/>
    <x v="3"/>
    <x v="0"/>
    <x v="430"/>
    <n v="340.95"/>
    <x v="0"/>
    <n v="4091.3999999999996"/>
  </r>
  <r>
    <x v="10"/>
    <x v="3"/>
    <x v="1"/>
    <x v="1"/>
    <x v="247"/>
    <n v="340.95"/>
    <x v="15"/>
    <n v="681.9"/>
  </r>
  <r>
    <x v="7"/>
    <x v="4"/>
    <x v="1"/>
    <x v="3"/>
    <x v="137"/>
    <n v="799.95"/>
    <x v="15"/>
    <n v="1599.9"/>
  </r>
  <r>
    <x v="10"/>
    <x v="3"/>
    <x v="1"/>
    <x v="4"/>
    <x v="356"/>
    <n v="340.95"/>
    <x v="15"/>
    <n v="681.9"/>
  </r>
  <r>
    <x v="9"/>
    <x v="3"/>
    <x v="0"/>
    <x v="0"/>
    <x v="346"/>
    <n v="340.95"/>
    <x v="9"/>
    <n v="6137.0999999999995"/>
  </r>
  <r>
    <x v="10"/>
    <x v="0"/>
    <x v="1"/>
    <x v="3"/>
    <x v="24"/>
    <n v="340.95"/>
    <x v="5"/>
    <n v="3068.5499999999997"/>
  </r>
  <r>
    <x v="8"/>
    <x v="4"/>
    <x v="2"/>
    <x v="1"/>
    <x v="137"/>
    <n v="799.95"/>
    <x v="17"/>
    <n v="11999.25"/>
  </r>
  <r>
    <x v="7"/>
    <x v="0"/>
    <x v="1"/>
    <x v="0"/>
    <x v="94"/>
    <n v="340.95"/>
    <x v="9"/>
    <n v="6137.0999999999995"/>
  </r>
  <r>
    <x v="3"/>
    <x v="4"/>
    <x v="1"/>
    <x v="4"/>
    <x v="431"/>
    <n v="799.95"/>
    <x v="1"/>
    <n v="2399.8500000000004"/>
  </r>
  <r>
    <x v="1"/>
    <x v="1"/>
    <x v="1"/>
    <x v="3"/>
    <x v="430"/>
    <n v="79.989999999999995"/>
    <x v="5"/>
    <n v="719.91"/>
  </r>
  <r>
    <x v="0"/>
    <x v="3"/>
    <x v="0"/>
    <x v="1"/>
    <x v="10"/>
    <n v="340.95"/>
    <x v="16"/>
    <n v="2386.65"/>
  </r>
  <r>
    <x v="7"/>
    <x v="3"/>
    <x v="1"/>
    <x v="2"/>
    <x v="224"/>
    <n v="340.95"/>
    <x v="8"/>
    <n v="2727.6"/>
  </r>
  <r>
    <x v="0"/>
    <x v="0"/>
    <x v="0"/>
    <x v="4"/>
    <x v="225"/>
    <n v="340.95"/>
    <x v="15"/>
    <n v="681.9"/>
  </r>
  <r>
    <x v="10"/>
    <x v="2"/>
    <x v="1"/>
    <x v="0"/>
    <x v="249"/>
    <n v="168.95"/>
    <x v="13"/>
    <n v="2703.2"/>
  </r>
  <r>
    <x v="6"/>
    <x v="2"/>
    <x v="3"/>
    <x v="0"/>
    <x v="345"/>
    <n v="168.95"/>
    <x v="19"/>
    <n v="2872.1499999999996"/>
  </r>
  <r>
    <x v="8"/>
    <x v="1"/>
    <x v="2"/>
    <x v="3"/>
    <x v="200"/>
    <n v="79.989999999999995"/>
    <x v="1"/>
    <n v="239.96999999999997"/>
  </r>
  <r>
    <x v="4"/>
    <x v="2"/>
    <x v="0"/>
    <x v="4"/>
    <x v="432"/>
    <n v="168.95"/>
    <x v="1"/>
    <n v="506.84999999999997"/>
  </r>
  <r>
    <x v="11"/>
    <x v="3"/>
    <x v="2"/>
    <x v="2"/>
    <x v="433"/>
    <n v="340.95"/>
    <x v="0"/>
    <n v="4091.3999999999996"/>
  </r>
  <r>
    <x v="1"/>
    <x v="1"/>
    <x v="1"/>
    <x v="0"/>
    <x v="344"/>
    <n v="79.989999999999995"/>
    <x v="7"/>
    <n v="1599.8"/>
  </r>
  <r>
    <x v="1"/>
    <x v="3"/>
    <x v="1"/>
    <x v="4"/>
    <x v="434"/>
    <n v="340.95"/>
    <x v="3"/>
    <n v="1363.8"/>
  </r>
  <r>
    <x v="4"/>
    <x v="1"/>
    <x v="0"/>
    <x v="2"/>
    <x v="7"/>
    <n v="79.989999999999995"/>
    <x v="17"/>
    <n v="1199.8499999999999"/>
  </r>
  <r>
    <x v="6"/>
    <x v="0"/>
    <x v="3"/>
    <x v="3"/>
    <x v="428"/>
    <n v="340.95"/>
    <x v="17"/>
    <n v="5114.25"/>
  </r>
  <r>
    <x v="3"/>
    <x v="2"/>
    <x v="1"/>
    <x v="2"/>
    <x v="222"/>
    <n v="168.95"/>
    <x v="8"/>
    <n v="1351.6"/>
  </r>
  <r>
    <x v="8"/>
    <x v="2"/>
    <x v="2"/>
    <x v="0"/>
    <x v="36"/>
    <n v="168.95"/>
    <x v="7"/>
    <n v="3379"/>
  </r>
  <r>
    <x v="0"/>
    <x v="0"/>
    <x v="0"/>
    <x v="4"/>
    <x v="435"/>
    <n v="340.95"/>
    <x v="15"/>
    <n v="681.9"/>
  </r>
  <r>
    <x v="4"/>
    <x v="3"/>
    <x v="0"/>
    <x v="3"/>
    <x v="364"/>
    <n v="340.95"/>
    <x v="14"/>
    <n v="3409.5"/>
  </r>
  <r>
    <x v="2"/>
    <x v="3"/>
    <x v="0"/>
    <x v="1"/>
    <x v="436"/>
    <n v="340.95"/>
    <x v="8"/>
    <n v="2727.6"/>
  </r>
  <r>
    <x v="3"/>
    <x v="2"/>
    <x v="1"/>
    <x v="4"/>
    <x v="339"/>
    <n v="168.95"/>
    <x v="2"/>
    <n v="2196.35"/>
  </r>
  <r>
    <x v="10"/>
    <x v="0"/>
    <x v="1"/>
    <x v="4"/>
    <x v="209"/>
    <n v="340.95"/>
    <x v="2"/>
    <n v="4432.3499999999995"/>
  </r>
  <r>
    <x v="2"/>
    <x v="4"/>
    <x v="0"/>
    <x v="4"/>
    <x v="437"/>
    <n v="799.95"/>
    <x v="8"/>
    <n v="6399.6"/>
  </r>
  <r>
    <x v="0"/>
    <x v="4"/>
    <x v="0"/>
    <x v="2"/>
    <x v="327"/>
    <n v="799.95"/>
    <x v="16"/>
    <n v="5599.6500000000005"/>
  </r>
  <r>
    <x v="11"/>
    <x v="2"/>
    <x v="2"/>
    <x v="0"/>
    <x v="412"/>
    <n v="168.95"/>
    <x v="7"/>
    <n v="3379"/>
  </r>
  <r>
    <x v="11"/>
    <x v="1"/>
    <x v="2"/>
    <x v="3"/>
    <x v="7"/>
    <n v="79.989999999999995"/>
    <x v="16"/>
    <n v="559.92999999999995"/>
  </r>
  <r>
    <x v="1"/>
    <x v="2"/>
    <x v="1"/>
    <x v="2"/>
    <x v="438"/>
    <n v="168.95"/>
    <x v="10"/>
    <n v="2365.2999999999997"/>
  </r>
  <r>
    <x v="6"/>
    <x v="2"/>
    <x v="3"/>
    <x v="0"/>
    <x v="327"/>
    <n v="168.95"/>
    <x v="4"/>
    <n v="1013.6999999999999"/>
  </r>
  <r>
    <x v="1"/>
    <x v="2"/>
    <x v="1"/>
    <x v="1"/>
    <x v="241"/>
    <n v="168.95"/>
    <x v="4"/>
    <n v="1013.6999999999999"/>
  </r>
  <r>
    <x v="9"/>
    <x v="0"/>
    <x v="0"/>
    <x v="4"/>
    <x v="263"/>
    <n v="340.95"/>
    <x v="18"/>
    <n v="1704.75"/>
  </r>
  <r>
    <x v="1"/>
    <x v="0"/>
    <x v="1"/>
    <x v="0"/>
    <x v="439"/>
    <n v="340.95"/>
    <x v="2"/>
    <n v="4432.3499999999995"/>
  </r>
  <r>
    <x v="8"/>
    <x v="2"/>
    <x v="2"/>
    <x v="0"/>
    <x v="217"/>
    <n v="168.95"/>
    <x v="4"/>
    <n v="1013.6999999999999"/>
  </r>
  <r>
    <x v="10"/>
    <x v="0"/>
    <x v="1"/>
    <x v="4"/>
    <x v="440"/>
    <n v="340.95"/>
    <x v="10"/>
    <n v="4773.3"/>
  </r>
  <r>
    <x v="1"/>
    <x v="0"/>
    <x v="1"/>
    <x v="2"/>
    <x v="195"/>
    <n v="340.95"/>
    <x v="14"/>
    <n v="3409.5"/>
  </r>
  <r>
    <x v="0"/>
    <x v="4"/>
    <x v="0"/>
    <x v="3"/>
    <x v="265"/>
    <n v="799.95"/>
    <x v="8"/>
    <n v="6399.6"/>
  </r>
  <r>
    <x v="2"/>
    <x v="3"/>
    <x v="0"/>
    <x v="2"/>
    <x v="80"/>
    <n v="340.95"/>
    <x v="12"/>
    <n v="340.95"/>
  </r>
  <r>
    <x v="1"/>
    <x v="4"/>
    <x v="1"/>
    <x v="4"/>
    <x v="267"/>
    <n v="799.95"/>
    <x v="16"/>
    <n v="5599.6500000000005"/>
  </r>
  <r>
    <x v="10"/>
    <x v="4"/>
    <x v="1"/>
    <x v="3"/>
    <x v="290"/>
    <n v="799.95"/>
    <x v="0"/>
    <n v="9599.4000000000015"/>
  </r>
  <r>
    <x v="8"/>
    <x v="2"/>
    <x v="2"/>
    <x v="2"/>
    <x v="264"/>
    <n v="168.95"/>
    <x v="1"/>
    <n v="506.84999999999997"/>
  </r>
  <r>
    <x v="4"/>
    <x v="4"/>
    <x v="0"/>
    <x v="3"/>
    <x v="257"/>
    <n v="799.95"/>
    <x v="16"/>
    <n v="5599.6500000000005"/>
  </r>
  <r>
    <x v="5"/>
    <x v="3"/>
    <x v="3"/>
    <x v="4"/>
    <x v="257"/>
    <n v="340.95"/>
    <x v="6"/>
    <n v="3750.45"/>
  </r>
  <r>
    <x v="5"/>
    <x v="2"/>
    <x v="3"/>
    <x v="4"/>
    <x v="8"/>
    <n v="168.95"/>
    <x v="14"/>
    <n v="1689.5"/>
  </r>
  <r>
    <x v="2"/>
    <x v="2"/>
    <x v="0"/>
    <x v="1"/>
    <x v="109"/>
    <n v="168.95"/>
    <x v="12"/>
    <n v="168.95"/>
  </r>
  <r>
    <x v="11"/>
    <x v="0"/>
    <x v="2"/>
    <x v="0"/>
    <x v="363"/>
    <n v="340.95"/>
    <x v="2"/>
    <n v="4432.3499999999995"/>
  </r>
  <r>
    <x v="6"/>
    <x v="2"/>
    <x v="3"/>
    <x v="1"/>
    <x v="439"/>
    <n v="168.95"/>
    <x v="4"/>
    <n v="1013.6999999999999"/>
  </r>
  <r>
    <x v="5"/>
    <x v="3"/>
    <x v="3"/>
    <x v="4"/>
    <x v="301"/>
    <n v="340.95"/>
    <x v="15"/>
    <n v="681.9"/>
  </r>
  <r>
    <x v="1"/>
    <x v="3"/>
    <x v="1"/>
    <x v="4"/>
    <x v="47"/>
    <n v="340.95"/>
    <x v="0"/>
    <n v="4091.3999999999996"/>
  </r>
  <r>
    <x v="9"/>
    <x v="2"/>
    <x v="0"/>
    <x v="2"/>
    <x v="77"/>
    <n v="168.95"/>
    <x v="0"/>
    <n v="2027.3999999999999"/>
  </r>
  <r>
    <x v="3"/>
    <x v="1"/>
    <x v="1"/>
    <x v="0"/>
    <x v="38"/>
    <n v="79.989999999999995"/>
    <x v="14"/>
    <n v="799.9"/>
  </r>
  <r>
    <x v="2"/>
    <x v="1"/>
    <x v="0"/>
    <x v="4"/>
    <x v="300"/>
    <n v="79.989999999999995"/>
    <x v="6"/>
    <n v="879.89"/>
  </r>
  <r>
    <x v="1"/>
    <x v="3"/>
    <x v="1"/>
    <x v="2"/>
    <x v="26"/>
    <n v="340.95"/>
    <x v="3"/>
    <n v="1363.8"/>
  </r>
  <r>
    <x v="6"/>
    <x v="4"/>
    <x v="3"/>
    <x v="0"/>
    <x v="251"/>
    <n v="799.95"/>
    <x v="7"/>
    <n v="15999"/>
  </r>
  <r>
    <x v="2"/>
    <x v="4"/>
    <x v="0"/>
    <x v="3"/>
    <x v="441"/>
    <n v="799.95"/>
    <x v="2"/>
    <n v="10399.35"/>
  </r>
  <r>
    <x v="1"/>
    <x v="0"/>
    <x v="1"/>
    <x v="4"/>
    <x v="28"/>
    <n v="340.95"/>
    <x v="6"/>
    <n v="3750.45"/>
  </r>
  <r>
    <x v="2"/>
    <x v="4"/>
    <x v="0"/>
    <x v="4"/>
    <x v="358"/>
    <n v="799.95"/>
    <x v="18"/>
    <n v="3999.75"/>
  </r>
  <r>
    <x v="2"/>
    <x v="1"/>
    <x v="0"/>
    <x v="1"/>
    <x v="442"/>
    <n v="79.989999999999995"/>
    <x v="4"/>
    <n v="479.93999999999994"/>
  </r>
  <r>
    <x v="1"/>
    <x v="3"/>
    <x v="1"/>
    <x v="2"/>
    <x v="339"/>
    <n v="340.95"/>
    <x v="14"/>
    <n v="3409.5"/>
  </r>
  <r>
    <x v="7"/>
    <x v="4"/>
    <x v="1"/>
    <x v="1"/>
    <x v="443"/>
    <n v="799.95"/>
    <x v="10"/>
    <n v="11199.300000000001"/>
  </r>
  <r>
    <x v="2"/>
    <x v="3"/>
    <x v="0"/>
    <x v="1"/>
    <x v="320"/>
    <n v="340.95"/>
    <x v="0"/>
    <n v="4091.3999999999996"/>
  </r>
  <r>
    <x v="1"/>
    <x v="3"/>
    <x v="1"/>
    <x v="2"/>
    <x v="174"/>
    <n v="340.95"/>
    <x v="16"/>
    <n v="2386.65"/>
  </r>
  <r>
    <x v="9"/>
    <x v="3"/>
    <x v="0"/>
    <x v="0"/>
    <x v="444"/>
    <n v="340.95"/>
    <x v="4"/>
    <n v="2045.6999999999998"/>
  </r>
  <r>
    <x v="2"/>
    <x v="4"/>
    <x v="0"/>
    <x v="2"/>
    <x v="117"/>
    <n v="799.95"/>
    <x v="8"/>
    <n v="6399.6"/>
  </r>
  <r>
    <x v="11"/>
    <x v="3"/>
    <x v="2"/>
    <x v="4"/>
    <x v="445"/>
    <n v="340.95"/>
    <x v="8"/>
    <n v="2727.6"/>
  </r>
  <r>
    <x v="10"/>
    <x v="1"/>
    <x v="1"/>
    <x v="0"/>
    <x v="102"/>
    <n v="79.989999999999995"/>
    <x v="16"/>
    <n v="559.92999999999995"/>
  </r>
  <r>
    <x v="4"/>
    <x v="1"/>
    <x v="0"/>
    <x v="0"/>
    <x v="446"/>
    <n v="79.989999999999995"/>
    <x v="7"/>
    <n v="1599.8"/>
  </r>
  <r>
    <x v="10"/>
    <x v="1"/>
    <x v="1"/>
    <x v="0"/>
    <x v="447"/>
    <n v="79.989999999999995"/>
    <x v="2"/>
    <n v="1039.8699999999999"/>
  </r>
  <r>
    <x v="11"/>
    <x v="0"/>
    <x v="2"/>
    <x v="1"/>
    <x v="346"/>
    <n v="340.95"/>
    <x v="3"/>
    <n v="1363.8"/>
  </r>
  <r>
    <x v="1"/>
    <x v="4"/>
    <x v="1"/>
    <x v="1"/>
    <x v="46"/>
    <n v="799.95"/>
    <x v="4"/>
    <n v="4799.7000000000007"/>
  </r>
  <r>
    <x v="11"/>
    <x v="0"/>
    <x v="2"/>
    <x v="2"/>
    <x v="94"/>
    <n v="340.95"/>
    <x v="4"/>
    <n v="2045.6999999999998"/>
  </r>
  <r>
    <x v="9"/>
    <x v="4"/>
    <x v="0"/>
    <x v="1"/>
    <x v="159"/>
    <n v="799.95"/>
    <x v="12"/>
    <n v="799.95"/>
  </r>
  <r>
    <x v="6"/>
    <x v="0"/>
    <x v="3"/>
    <x v="1"/>
    <x v="131"/>
    <n v="340.95"/>
    <x v="14"/>
    <n v="3409.5"/>
  </r>
  <r>
    <x v="9"/>
    <x v="4"/>
    <x v="0"/>
    <x v="4"/>
    <x v="158"/>
    <n v="799.95"/>
    <x v="12"/>
    <n v="799.95"/>
  </r>
  <r>
    <x v="6"/>
    <x v="0"/>
    <x v="3"/>
    <x v="4"/>
    <x v="341"/>
    <n v="340.95"/>
    <x v="15"/>
    <n v="681.9"/>
  </r>
  <r>
    <x v="4"/>
    <x v="4"/>
    <x v="0"/>
    <x v="4"/>
    <x v="251"/>
    <n v="799.95"/>
    <x v="15"/>
    <n v="1599.9"/>
  </r>
  <r>
    <x v="0"/>
    <x v="4"/>
    <x v="0"/>
    <x v="4"/>
    <x v="321"/>
    <n v="799.95"/>
    <x v="2"/>
    <n v="10399.35"/>
  </r>
  <r>
    <x v="6"/>
    <x v="0"/>
    <x v="3"/>
    <x v="4"/>
    <x v="376"/>
    <n v="340.95"/>
    <x v="4"/>
    <n v="2045.6999999999998"/>
  </r>
  <r>
    <x v="10"/>
    <x v="4"/>
    <x v="1"/>
    <x v="1"/>
    <x v="274"/>
    <n v="799.95"/>
    <x v="1"/>
    <n v="2399.8500000000004"/>
  </r>
  <r>
    <x v="5"/>
    <x v="1"/>
    <x v="3"/>
    <x v="2"/>
    <x v="349"/>
    <n v="79.989999999999995"/>
    <x v="6"/>
    <n v="879.89"/>
  </r>
  <r>
    <x v="2"/>
    <x v="4"/>
    <x v="0"/>
    <x v="0"/>
    <x v="136"/>
    <n v="799.95"/>
    <x v="10"/>
    <n v="11199.300000000001"/>
  </r>
  <r>
    <x v="11"/>
    <x v="0"/>
    <x v="2"/>
    <x v="4"/>
    <x v="160"/>
    <n v="340.95"/>
    <x v="17"/>
    <n v="5114.25"/>
  </r>
  <r>
    <x v="3"/>
    <x v="4"/>
    <x v="1"/>
    <x v="1"/>
    <x v="448"/>
    <n v="799.95"/>
    <x v="5"/>
    <n v="7199.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8EBF1A-A911-4D50-92BF-C6C3FC367CBF}"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N8" firstHeaderRow="1" firstDataRow="2" firstDataCol="1"/>
  <pivotFields count="11">
    <pivotField axis="axisCol" showAll="0">
      <items count="13">
        <item x="0"/>
        <item x="8"/>
        <item x="10"/>
        <item x="7"/>
        <item x="2"/>
        <item x="6"/>
        <item x="5"/>
        <item x="11"/>
        <item x="3"/>
        <item x="1"/>
        <item x="4"/>
        <item x="9"/>
        <item t="default"/>
      </items>
    </pivotField>
    <pivotField axis="axisRow" showAll="0">
      <items count="6">
        <item x="4"/>
        <item x="0"/>
        <item x="3"/>
        <item x="2"/>
        <item x="1"/>
        <item t="default"/>
      </items>
    </pivotField>
    <pivotField showAll="0">
      <items count="5">
        <item x="1"/>
        <item x="2"/>
        <item x="3"/>
        <item x="0"/>
        <item t="default"/>
      </items>
    </pivotField>
    <pivotField showAll="0"/>
    <pivotField numFmtId="166" showAll="0"/>
    <pivotField numFmtId="43" showAll="0"/>
    <pivotField dataField="1" numFmtId="164" showAll="0"/>
    <pivotField numFmtId="43" showAll="0"/>
    <pivotField showAll="0" defaultSubtotal="0">
      <items count="2">
        <item x="0"/>
        <item x="1"/>
      </items>
    </pivotField>
    <pivotField showAll="0" defaultSubtotal="0">
      <items count="4">
        <item x="0"/>
        <item x="1"/>
        <item x="2"/>
        <item x="3"/>
      </items>
    </pivotField>
    <pivotField showAll="0" defaultSubtotal="0">
      <items count="11">
        <item x="0"/>
        <item x="1"/>
        <item x="2"/>
        <item x="3"/>
        <item x="4"/>
        <item x="5"/>
        <item x="6"/>
        <item x="7"/>
        <item x="8"/>
        <item x="9"/>
        <item x="10"/>
      </items>
    </pivotField>
  </pivotFields>
  <rowFields count="1">
    <field x="1"/>
  </rowFields>
  <rowItems count="6">
    <i>
      <x/>
    </i>
    <i>
      <x v="1"/>
    </i>
    <i>
      <x v="2"/>
    </i>
    <i>
      <x v="3"/>
    </i>
    <i>
      <x v="4"/>
    </i>
    <i t="grand">
      <x/>
    </i>
  </rowItems>
  <colFields count="1">
    <field x="0"/>
  </colFields>
  <colItems count="13">
    <i>
      <x/>
    </i>
    <i>
      <x v="1"/>
    </i>
    <i>
      <x v="2"/>
    </i>
    <i>
      <x v="3"/>
    </i>
    <i>
      <x v="4"/>
    </i>
    <i>
      <x v="5"/>
    </i>
    <i>
      <x v="6"/>
    </i>
    <i>
      <x v="7"/>
    </i>
    <i>
      <x v="8"/>
    </i>
    <i>
      <x v="9"/>
    </i>
    <i>
      <x v="10"/>
    </i>
    <i>
      <x v="11"/>
    </i>
    <i t="grand">
      <x/>
    </i>
  </colItems>
  <dataFields count="1">
    <dataField name="Sum of عدد المنتجات" fld="6" baseField="0" baseItem="0"/>
  </dataFields>
  <chartFormats count="7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3">
          <reference field="4294967294" count="1" selected="0">
            <x v="0"/>
          </reference>
          <reference field="0" count="1" selected="0">
            <x v="5"/>
          </reference>
          <reference field="1" count="1" selected="0">
            <x v="0"/>
          </reference>
        </references>
      </pivotArea>
    </chartFormat>
    <chartFormat chart="0" format="6" series="1">
      <pivotArea type="data" outline="0" fieldPosition="0">
        <references count="3">
          <reference field="4294967294" count="1" selected="0">
            <x v="0"/>
          </reference>
          <reference field="0" count="1" selected="0">
            <x v="6"/>
          </reference>
          <reference field="1" count="1" selected="0">
            <x v="0"/>
          </reference>
        </references>
      </pivotArea>
    </chartFormat>
    <chartFormat chart="0" format="7" series="1">
      <pivotArea type="data" outline="0" fieldPosition="0">
        <references count="3">
          <reference field="4294967294" count="1" selected="0">
            <x v="0"/>
          </reference>
          <reference field="0" count="1" selected="0">
            <x v="7"/>
          </reference>
          <reference field="1" count="1" selected="0">
            <x v="0"/>
          </reference>
        </references>
      </pivotArea>
    </chartFormat>
    <chartFormat chart="0" format="8" series="1">
      <pivotArea type="data" outline="0" fieldPosition="0">
        <references count="3">
          <reference field="4294967294" count="1" selected="0">
            <x v="0"/>
          </reference>
          <reference field="0" count="1" selected="0">
            <x v="8"/>
          </reference>
          <reference field="1" count="1" selected="0">
            <x v="0"/>
          </reference>
        </references>
      </pivotArea>
    </chartFormat>
    <chartFormat chart="0" format="9" series="1">
      <pivotArea type="data" outline="0" fieldPosition="0">
        <references count="3">
          <reference field="4294967294" count="1" selected="0">
            <x v="0"/>
          </reference>
          <reference field="0" count="1" selected="0">
            <x v="9"/>
          </reference>
          <reference field="1" count="1" selected="0">
            <x v="0"/>
          </reference>
        </references>
      </pivotArea>
    </chartFormat>
    <chartFormat chart="0" format="10" series="1">
      <pivotArea type="data" outline="0" fieldPosition="0">
        <references count="3">
          <reference field="4294967294" count="1" selected="0">
            <x v="0"/>
          </reference>
          <reference field="0" count="1" selected="0">
            <x v="10"/>
          </reference>
          <reference field="1" count="1" selected="0">
            <x v="0"/>
          </reference>
        </references>
      </pivotArea>
    </chartFormat>
    <chartFormat chart="0" format="11" series="1">
      <pivotArea type="data" outline="0" fieldPosition="0">
        <references count="3">
          <reference field="4294967294" count="1" selected="0">
            <x v="0"/>
          </reference>
          <reference field="0" count="1" selected="0">
            <x v="11"/>
          </reference>
          <reference field="1" count="1" selected="0">
            <x v="0"/>
          </reference>
        </references>
      </pivotArea>
    </chartFormat>
    <chartFormat chart="0" format="12" series="1">
      <pivotArea type="data" outline="0" fieldPosition="0">
        <references count="3">
          <reference field="4294967294" count="1" selected="0">
            <x v="0"/>
          </reference>
          <reference field="0" count="1" selected="0">
            <x v="0"/>
          </reference>
          <reference field="1" count="1" selected="0">
            <x v="1"/>
          </reference>
        </references>
      </pivotArea>
    </chartFormat>
    <chartFormat chart="0" format="13" series="1">
      <pivotArea type="data" outline="0" fieldPosition="0">
        <references count="3">
          <reference field="4294967294" count="1" selected="0">
            <x v="0"/>
          </reference>
          <reference field="0" count="1" selected="0">
            <x v="1"/>
          </reference>
          <reference field="1" count="1" selected="0">
            <x v="1"/>
          </reference>
        </references>
      </pivotArea>
    </chartFormat>
    <chartFormat chart="0" format="14" series="1">
      <pivotArea type="data" outline="0" fieldPosition="0">
        <references count="3">
          <reference field="4294967294" count="1" selected="0">
            <x v="0"/>
          </reference>
          <reference field="0" count="1" selected="0">
            <x v="2"/>
          </reference>
          <reference field="1" count="1" selected="0">
            <x v="1"/>
          </reference>
        </references>
      </pivotArea>
    </chartFormat>
    <chartFormat chart="0" format="15" series="1">
      <pivotArea type="data" outline="0" fieldPosition="0">
        <references count="3">
          <reference field="4294967294" count="1" selected="0">
            <x v="0"/>
          </reference>
          <reference field="0" count="1" selected="0">
            <x v="3"/>
          </reference>
          <reference field="1" count="1" selected="0">
            <x v="1"/>
          </reference>
        </references>
      </pivotArea>
    </chartFormat>
    <chartFormat chart="0" format="16" series="1">
      <pivotArea type="data" outline="0" fieldPosition="0">
        <references count="3">
          <reference field="4294967294" count="1" selected="0">
            <x v="0"/>
          </reference>
          <reference field="0" count="1" selected="0">
            <x v="4"/>
          </reference>
          <reference field="1" count="1" selected="0">
            <x v="1"/>
          </reference>
        </references>
      </pivotArea>
    </chartFormat>
    <chartFormat chart="0" format="17" series="1">
      <pivotArea type="data" outline="0" fieldPosition="0">
        <references count="3">
          <reference field="4294967294" count="1" selected="0">
            <x v="0"/>
          </reference>
          <reference field="0" count="1" selected="0">
            <x v="5"/>
          </reference>
          <reference field="1" count="1" selected="0">
            <x v="1"/>
          </reference>
        </references>
      </pivotArea>
    </chartFormat>
    <chartFormat chart="0" format="18" series="1">
      <pivotArea type="data" outline="0" fieldPosition="0">
        <references count="3">
          <reference field="4294967294" count="1" selected="0">
            <x v="0"/>
          </reference>
          <reference field="0" count="1" selected="0">
            <x v="6"/>
          </reference>
          <reference field="1" count="1" selected="0">
            <x v="1"/>
          </reference>
        </references>
      </pivotArea>
    </chartFormat>
    <chartFormat chart="0" format="19" series="1">
      <pivotArea type="data" outline="0" fieldPosition="0">
        <references count="3">
          <reference field="4294967294" count="1" selected="0">
            <x v="0"/>
          </reference>
          <reference field="0" count="1" selected="0">
            <x v="7"/>
          </reference>
          <reference field="1" count="1" selected="0">
            <x v="1"/>
          </reference>
        </references>
      </pivotArea>
    </chartFormat>
    <chartFormat chart="0" format="20" series="1">
      <pivotArea type="data" outline="0" fieldPosition="0">
        <references count="3">
          <reference field="4294967294" count="1" selected="0">
            <x v="0"/>
          </reference>
          <reference field="0" count="1" selected="0">
            <x v="8"/>
          </reference>
          <reference field="1" count="1" selected="0">
            <x v="1"/>
          </reference>
        </references>
      </pivotArea>
    </chartFormat>
    <chartFormat chart="0" format="21" series="1">
      <pivotArea type="data" outline="0" fieldPosition="0">
        <references count="3">
          <reference field="4294967294" count="1" selected="0">
            <x v="0"/>
          </reference>
          <reference field="0" count="1" selected="0">
            <x v="9"/>
          </reference>
          <reference field="1" count="1" selected="0">
            <x v="1"/>
          </reference>
        </references>
      </pivotArea>
    </chartFormat>
    <chartFormat chart="0" format="22" series="1">
      <pivotArea type="data" outline="0" fieldPosition="0">
        <references count="3">
          <reference field="4294967294" count="1" selected="0">
            <x v="0"/>
          </reference>
          <reference field="0" count="1" selected="0">
            <x v="10"/>
          </reference>
          <reference field="1" count="1" selected="0">
            <x v="1"/>
          </reference>
        </references>
      </pivotArea>
    </chartFormat>
    <chartFormat chart="0" format="23" series="1">
      <pivotArea type="data" outline="0" fieldPosition="0">
        <references count="3">
          <reference field="4294967294" count="1" selected="0">
            <x v="0"/>
          </reference>
          <reference field="0" count="1" selected="0">
            <x v="11"/>
          </reference>
          <reference field="1" count="1" selected="0">
            <x v="1"/>
          </reference>
        </references>
      </pivotArea>
    </chartFormat>
    <chartFormat chart="0" format="24" series="1">
      <pivotArea type="data" outline="0" fieldPosition="0">
        <references count="3">
          <reference field="4294967294" count="1" selected="0">
            <x v="0"/>
          </reference>
          <reference field="0" count="1" selected="0">
            <x v="0"/>
          </reference>
          <reference field="1" count="1" selected="0">
            <x v="2"/>
          </reference>
        </references>
      </pivotArea>
    </chartFormat>
    <chartFormat chart="0" format="25" series="1">
      <pivotArea type="data" outline="0" fieldPosition="0">
        <references count="3">
          <reference field="4294967294" count="1" selected="0">
            <x v="0"/>
          </reference>
          <reference field="0" count="1" selected="0">
            <x v="1"/>
          </reference>
          <reference field="1" count="1" selected="0">
            <x v="2"/>
          </reference>
        </references>
      </pivotArea>
    </chartFormat>
    <chartFormat chart="0" format="26" series="1">
      <pivotArea type="data" outline="0" fieldPosition="0">
        <references count="3">
          <reference field="4294967294" count="1" selected="0">
            <x v="0"/>
          </reference>
          <reference field="0" count="1" selected="0">
            <x v="2"/>
          </reference>
          <reference field="1" count="1" selected="0">
            <x v="2"/>
          </reference>
        </references>
      </pivotArea>
    </chartFormat>
    <chartFormat chart="0" format="27" series="1">
      <pivotArea type="data" outline="0" fieldPosition="0">
        <references count="3">
          <reference field="4294967294" count="1" selected="0">
            <x v="0"/>
          </reference>
          <reference field="0" count="1" selected="0">
            <x v="3"/>
          </reference>
          <reference field="1" count="1" selected="0">
            <x v="2"/>
          </reference>
        </references>
      </pivotArea>
    </chartFormat>
    <chartFormat chart="0" format="28" series="1">
      <pivotArea type="data" outline="0" fieldPosition="0">
        <references count="3">
          <reference field="4294967294" count="1" selected="0">
            <x v="0"/>
          </reference>
          <reference field="0" count="1" selected="0">
            <x v="4"/>
          </reference>
          <reference field="1" count="1" selected="0">
            <x v="2"/>
          </reference>
        </references>
      </pivotArea>
    </chartFormat>
    <chartFormat chart="0" format="29" series="1">
      <pivotArea type="data" outline="0" fieldPosition="0">
        <references count="3">
          <reference field="4294967294" count="1" selected="0">
            <x v="0"/>
          </reference>
          <reference field="0" count="1" selected="0">
            <x v="5"/>
          </reference>
          <reference field="1" count="1" selected="0">
            <x v="2"/>
          </reference>
        </references>
      </pivotArea>
    </chartFormat>
    <chartFormat chart="0" format="30" series="1">
      <pivotArea type="data" outline="0" fieldPosition="0">
        <references count="3">
          <reference field="4294967294" count="1" selected="0">
            <x v="0"/>
          </reference>
          <reference field="0" count="1" selected="0">
            <x v="6"/>
          </reference>
          <reference field="1" count="1" selected="0">
            <x v="2"/>
          </reference>
        </references>
      </pivotArea>
    </chartFormat>
    <chartFormat chart="0" format="31" series="1">
      <pivotArea type="data" outline="0" fieldPosition="0">
        <references count="3">
          <reference field="4294967294" count="1" selected="0">
            <x v="0"/>
          </reference>
          <reference field="0" count="1" selected="0">
            <x v="7"/>
          </reference>
          <reference field="1" count="1" selected="0">
            <x v="2"/>
          </reference>
        </references>
      </pivotArea>
    </chartFormat>
    <chartFormat chart="0" format="32" series="1">
      <pivotArea type="data" outline="0" fieldPosition="0">
        <references count="3">
          <reference field="4294967294" count="1" selected="0">
            <x v="0"/>
          </reference>
          <reference field="0" count="1" selected="0">
            <x v="8"/>
          </reference>
          <reference field="1" count="1" selected="0">
            <x v="2"/>
          </reference>
        </references>
      </pivotArea>
    </chartFormat>
    <chartFormat chart="0" format="33" series="1">
      <pivotArea type="data" outline="0" fieldPosition="0">
        <references count="3">
          <reference field="4294967294" count="1" selected="0">
            <x v="0"/>
          </reference>
          <reference field="0" count="1" selected="0">
            <x v="9"/>
          </reference>
          <reference field="1" count="1" selected="0">
            <x v="2"/>
          </reference>
        </references>
      </pivotArea>
    </chartFormat>
    <chartFormat chart="0" format="34" series="1">
      <pivotArea type="data" outline="0" fieldPosition="0">
        <references count="3">
          <reference field="4294967294" count="1" selected="0">
            <x v="0"/>
          </reference>
          <reference field="0" count="1" selected="0">
            <x v="10"/>
          </reference>
          <reference field="1" count="1" selected="0">
            <x v="2"/>
          </reference>
        </references>
      </pivotArea>
    </chartFormat>
    <chartFormat chart="0" format="35" series="1">
      <pivotArea type="data" outline="0" fieldPosition="0">
        <references count="3">
          <reference field="4294967294" count="1" selected="0">
            <x v="0"/>
          </reference>
          <reference field="0" count="1" selected="0">
            <x v="11"/>
          </reference>
          <reference field="1" count="1" selected="0">
            <x v="2"/>
          </reference>
        </references>
      </pivotArea>
    </chartFormat>
    <chartFormat chart="0" format="36" series="1">
      <pivotArea type="data" outline="0" fieldPosition="0">
        <references count="3">
          <reference field="4294967294" count="1" selected="0">
            <x v="0"/>
          </reference>
          <reference field="0" count="1" selected="0">
            <x v="0"/>
          </reference>
          <reference field="1" count="1" selected="0">
            <x v="3"/>
          </reference>
        </references>
      </pivotArea>
    </chartFormat>
    <chartFormat chart="0" format="37" series="1">
      <pivotArea type="data" outline="0" fieldPosition="0">
        <references count="3">
          <reference field="4294967294" count="1" selected="0">
            <x v="0"/>
          </reference>
          <reference field="0" count="1" selected="0">
            <x v="1"/>
          </reference>
          <reference field="1" count="1" selected="0">
            <x v="3"/>
          </reference>
        </references>
      </pivotArea>
    </chartFormat>
    <chartFormat chart="0" format="38" series="1">
      <pivotArea type="data" outline="0" fieldPosition="0">
        <references count="3">
          <reference field="4294967294" count="1" selected="0">
            <x v="0"/>
          </reference>
          <reference field="0" count="1" selected="0">
            <x v="2"/>
          </reference>
          <reference field="1" count="1" selected="0">
            <x v="3"/>
          </reference>
        </references>
      </pivotArea>
    </chartFormat>
    <chartFormat chart="0" format="39" series="1">
      <pivotArea type="data" outline="0" fieldPosition="0">
        <references count="3">
          <reference field="4294967294" count="1" selected="0">
            <x v="0"/>
          </reference>
          <reference field="0" count="1" selected="0">
            <x v="3"/>
          </reference>
          <reference field="1" count="1" selected="0">
            <x v="3"/>
          </reference>
        </references>
      </pivotArea>
    </chartFormat>
    <chartFormat chart="0" format="40" series="1">
      <pivotArea type="data" outline="0" fieldPosition="0">
        <references count="3">
          <reference field="4294967294" count="1" selected="0">
            <x v="0"/>
          </reference>
          <reference field="0" count="1" selected="0">
            <x v="4"/>
          </reference>
          <reference field="1" count="1" selected="0">
            <x v="3"/>
          </reference>
        </references>
      </pivotArea>
    </chartFormat>
    <chartFormat chart="0" format="41" series="1">
      <pivotArea type="data" outline="0" fieldPosition="0">
        <references count="3">
          <reference field="4294967294" count="1" selected="0">
            <x v="0"/>
          </reference>
          <reference field="0" count="1" selected="0">
            <x v="5"/>
          </reference>
          <reference field="1" count="1" selected="0">
            <x v="3"/>
          </reference>
        </references>
      </pivotArea>
    </chartFormat>
    <chartFormat chart="0" format="42" series="1">
      <pivotArea type="data" outline="0" fieldPosition="0">
        <references count="3">
          <reference field="4294967294" count="1" selected="0">
            <x v="0"/>
          </reference>
          <reference field="0" count="1" selected="0">
            <x v="6"/>
          </reference>
          <reference field="1" count="1" selected="0">
            <x v="3"/>
          </reference>
        </references>
      </pivotArea>
    </chartFormat>
    <chartFormat chart="0" format="43" series="1">
      <pivotArea type="data" outline="0" fieldPosition="0">
        <references count="3">
          <reference field="4294967294" count="1" selected="0">
            <x v="0"/>
          </reference>
          <reference field="0" count="1" selected="0">
            <x v="7"/>
          </reference>
          <reference field="1" count="1" selected="0">
            <x v="3"/>
          </reference>
        </references>
      </pivotArea>
    </chartFormat>
    <chartFormat chart="0" format="44" series="1">
      <pivotArea type="data" outline="0" fieldPosition="0">
        <references count="3">
          <reference field="4294967294" count="1" selected="0">
            <x v="0"/>
          </reference>
          <reference field="0" count="1" selected="0">
            <x v="8"/>
          </reference>
          <reference field="1" count="1" selected="0">
            <x v="3"/>
          </reference>
        </references>
      </pivotArea>
    </chartFormat>
    <chartFormat chart="0" format="45" series="1">
      <pivotArea type="data" outline="0" fieldPosition="0">
        <references count="3">
          <reference field="4294967294" count="1" selected="0">
            <x v="0"/>
          </reference>
          <reference field="0" count="1" selected="0">
            <x v="9"/>
          </reference>
          <reference field="1" count="1" selected="0">
            <x v="3"/>
          </reference>
        </references>
      </pivotArea>
    </chartFormat>
    <chartFormat chart="0" format="46" series="1">
      <pivotArea type="data" outline="0" fieldPosition="0">
        <references count="3">
          <reference field="4294967294" count="1" selected="0">
            <x v="0"/>
          </reference>
          <reference field="0" count="1" selected="0">
            <x v="10"/>
          </reference>
          <reference field="1" count="1" selected="0">
            <x v="3"/>
          </reference>
        </references>
      </pivotArea>
    </chartFormat>
    <chartFormat chart="0" format="47" series="1">
      <pivotArea type="data" outline="0" fieldPosition="0">
        <references count="3">
          <reference field="4294967294" count="1" selected="0">
            <x v="0"/>
          </reference>
          <reference field="0" count="1" selected="0">
            <x v="11"/>
          </reference>
          <reference field="1" count="1" selected="0">
            <x v="3"/>
          </reference>
        </references>
      </pivotArea>
    </chartFormat>
    <chartFormat chart="0" format="48" series="1">
      <pivotArea type="data" outline="0" fieldPosition="0">
        <references count="3">
          <reference field="4294967294" count="1" selected="0">
            <x v="0"/>
          </reference>
          <reference field="0" count="1" selected="0">
            <x v="0"/>
          </reference>
          <reference field="1" count="1" selected="0">
            <x v="4"/>
          </reference>
        </references>
      </pivotArea>
    </chartFormat>
    <chartFormat chart="0" format="49" series="1">
      <pivotArea type="data" outline="0" fieldPosition="0">
        <references count="3">
          <reference field="4294967294" count="1" selected="0">
            <x v="0"/>
          </reference>
          <reference field="0" count="1" selected="0">
            <x v="1"/>
          </reference>
          <reference field="1" count="1" selected="0">
            <x v="4"/>
          </reference>
        </references>
      </pivotArea>
    </chartFormat>
    <chartFormat chart="0" format="50" series="1">
      <pivotArea type="data" outline="0" fieldPosition="0">
        <references count="3">
          <reference field="4294967294" count="1" selected="0">
            <x v="0"/>
          </reference>
          <reference field="0" count="1" selected="0">
            <x v="2"/>
          </reference>
          <reference field="1" count="1" selected="0">
            <x v="4"/>
          </reference>
        </references>
      </pivotArea>
    </chartFormat>
    <chartFormat chart="0" format="51" series="1">
      <pivotArea type="data" outline="0" fieldPosition="0">
        <references count="3">
          <reference field="4294967294" count="1" selected="0">
            <x v="0"/>
          </reference>
          <reference field="0" count="1" selected="0">
            <x v="3"/>
          </reference>
          <reference field="1" count="1" selected="0">
            <x v="4"/>
          </reference>
        </references>
      </pivotArea>
    </chartFormat>
    <chartFormat chart="0" format="52" series="1">
      <pivotArea type="data" outline="0" fieldPosition="0">
        <references count="3">
          <reference field="4294967294" count="1" selected="0">
            <x v="0"/>
          </reference>
          <reference field="0" count="1" selected="0">
            <x v="4"/>
          </reference>
          <reference field="1" count="1" selected="0">
            <x v="4"/>
          </reference>
        </references>
      </pivotArea>
    </chartFormat>
    <chartFormat chart="0" format="53" series="1">
      <pivotArea type="data" outline="0" fieldPosition="0">
        <references count="3">
          <reference field="4294967294" count="1" selected="0">
            <x v="0"/>
          </reference>
          <reference field="0" count="1" selected="0">
            <x v="5"/>
          </reference>
          <reference field="1" count="1" selected="0">
            <x v="4"/>
          </reference>
        </references>
      </pivotArea>
    </chartFormat>
    <chartFormat chart="0" format="54" series="1">
      <pivotArea type="data" outline="0" fieldPosition="0">
        <references count="3">
          <reference field="4294967294" count="1" selected="0">
            <x v="0"/>
          </reference>
          <reference field="0" count="1" selected="0">
            <x v="6"/>
          </reference>
          <reference field="1" count="1" selected="0">
            <x v="4"/>
          </reference>
        </references>
      </pivotArea>
    </chartFormat>
    <chartFormat chart="0" format="55" series="1">
      <pivotArea type="data" outline="0" fieldPosition="0">
        <references count="3">
          <reference field="4294967294" count="1" selected="0">
            <x v="0"/>
          </reference>
          <reference field="0" count="1" selected="0">
            <x v="7"/>
          </reference>
          <reference field="1" count="1" selected="0">
            <x v="4"/>
          </reference>
        </references>
      </pivotArea>
    </chartFormat>
    <chartFormat chart="0" format="56" series="1">
      <pivotArea type="data" outline="0" fieldPosition="0">
        <references count="3">
          <reference field="4294967294" count="1" selected="0">
            <x v="0"/>
          </reference>
          <reference field="0" count="1" selected="0">
            <x v="8"/>
          </reference>
          <reference field="1" count="1" selected="0">
            <x v="4"/>
          </reference>
        </references>
      </pivotArea>
    </chartFormat>
    <chartFormat chart="0" format="57" series="1">
      <pivotArea type="data" outline="0" fieldPosition="0">
        <references count="3">
          <reference field="4294967294" count="1" selected="0">
            <x v="0"/>
          </reference>
          <reference field="0" count="1" selected="0">
            <x v="9"/>
          </reference>
          <reference field="1" count="1" selected="0">
            <x v="4"/>
          </reference>
        </references>
      </pivotArea>
    </chartFormat>
    <chartFormat chart="0" format="58" series="1">
      <pivotArea type="data" outline="0" fieldPosition="0">
        <references count="3">
          <reference field="4294967294" count="1" selected="0">
            <x v="0"/>
          </reference>
          <reference field="0" count="1" selected="0">
            <x v="10"/>
          </reference>
          <reference field="1" count="1" selected="0">
            <x v="4"/>
          </reference>
        </references>
      </pivotArea>
    </chartFormat>
    <chartFormat chart="0" format="59" series="1">
      <pivotArea type="data" outline="0" fieldPosition="0">
        <references count="3">
          <reference field="4294967294" count="1" selected="0">
            <x v="0"/>
          </reference>
          <reference field="0" count="1" selected="0">
            <x v="11"/>
          </reference>
          <reference field="1" count="1" selected="0">
            <x v="4"/>
          </reference>
        </references>
      </pivotArea>
    </chartFormat>
    <chartFormat chart="0" format="60" series="1">
      <pivotArea type="data" outline="0" fieldPosition="0">
        <references count="2">
          <reference field="4294967294" count="1" selected="0">
            <x v="0"/>
          </reference>
          <reference field="0" count="1" selected="0">
            <x v="0"/>
          </reference>
        </references>
      </pivotArea>
    </chartFormat>
    <chartFormat chart="0" format="61" series="1">
      <pivotArea type="data" outline="0" fieldPosition="0">
        <references count="2">
          <reference field="4294967294" count="1" selected="0">
            <x v="0"/>
          </reference>
          <reference field="0" count="1" selected="0">
            <x v="1"/>
          </reference>
        </references>
      </pivotArea>
    </chartFormat>
    <chartFormat chart="0" format="62" series="1">
      <pivotArea type="data" outline="0" fieldPosition="0">
        <references count="2">
          <reference field="4294967294" count="1" selected="0">
            <x v="0"/>
          </reference>
          <reference field="0" count="1" selected="0">
            <x v="2"/>
          </reference>
        </references>
      </pivotArea>
    </chartFormat>
    <chartFormat chart="0" format="63" series="1">
      <pivotArea type="data" outline="0" fieldPosition="0">
        <references count="2">
          <reference field="4294967294" count="1" selected="0">
            <x v="0"/>
          </reference>
          <reference field="0" count="1" selected="0">
            <x v="3"/>
          </reference>
        </references>
      </pivotArea>
    </chartFormat>
    <chartFormat chart="0" format="64" series="1">
      <pivotArea type="data" outline="0" fieldPosition="0">
        <references count="2">
          <reference field="4294967294" count="1" selected="0">
            <x v="0"/>
          </reference>
          <reference field="0" count="1" selected="0">
            <x v="4"/>
          </reference>
        </references>
      </pivotArea>
    </chartFormat>
    <chartFormat chart="0" format="65" series="1">
      <pivotArea type="data" outline="0" fieldPosition="0">
        <references count="2">
          <reference field="4294967294" count="1" selected="0">
            <x v="0"/>
          </reference>
          <reference field="0" count="1" selected="0">
            <x v="5"/>
          </reference>
        </references>
      </pivotArea>
    </chartFormat>
    <chartFormat chart="0" format="66" series="1">
      <pivotArea type="data" outline="0" fieldPosition="0">
        <references count="2">
          <reference field="4294967294" count="1" selected="0">
            <x v="0"/>
          </reference>
          <reference field="0" count="1" selected="0">
            <x v="6"/>
          </reference>
        </references>
      </pivotArea>
    </chartFormat>
    <chartFormat chart="0" format="67" series="1">
      <pivotArea type="data" outline="0" fieldPosition="0">
        <references count="2">
          <reference field="4294967294" count="1" selected="0">
            <x v="0"/>
          </reference>
          <reference field="0" count="1" selected="0">
            <x v="7"/>
          </reference>
        </references>
      </pivotArea>
    </chartFormat>
    <chartFormat chart="0" format="68" series="1">
      <pivotArea type="data" outline="0" fieldPosition="0">
        <references count="2">
          <reference field="4294967294" count="1" selected="0">
            <x v="0"/>
          </reference>
          <reference field="0" count="1" selected="0">
            <x v="8"/>
          </reference>
        </references>
      </pivotArea>
    </chartFormat>
    <chartFormat chart="0" format="69" series="1">
      <pivotArea type="data" outline="0" fieldPosition="0">
        <references count="2">
          <reference field="4294967294" count="1" selected="0">
            <x v="0"/>
          </reference>
          <reference field="0" count="1" selected="0">
            <x v="9"/>
          </reference>
        </references>
      </pivotArea>
    </chartFormat>
    <chartFormat chart="0" format="70" series="1">
      <pivotArea type="data" outline="0" fieldPosition="0">
        <references count="2">
          <reference field="4294967294" count="1" selected="0">
            <x v="0"/>
          </reference>
          <reference field="0" count="1" selected="0">
            <x v="10"/>
          </reference>
        </references>
      </pivotArea>
    </chartFormat>
    <chartFormat chart="0" format="71" series="1">
      <pivotArea type="data" outline="0" fieldPosition="0">
        <references count="2">
          <reference field="4294967294" count="1" selected="0">
            <x v="0"/>
          </reference>
          <reference field="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CAFC3E-C078-45DA-A774-9FC720A6B7EC}" name="PivotTable3"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4:H456" firstHeaderRow="1" firstDataRow="3" firstDataCol="1"/>
  <pivotFields count="11">
    <pivotField compact="0" outline="0" showAll="0">
      <items count="13">
        <item x="0"/>
        <item x="8"/>
        <item x="10"/>
        <item x="7"/>
        <item x="2"/>
        <item x="6"/>
        <item x="5"/>
        <item x="11"/>
        <item x="3"/>
        <item x="1"/>
        <item x="4"/>
        <item x="9"/>
        <item t="default"/>
      </items>
      <extLst>
        <ext xmlns:x14="http://schemas.microsoft.com/office/spreadsheetml/2009/9/main" uri="{2946ED86-A175-432a-8AC1-64E0C546D7DE}">
          <x14:pivotField fillDownLabels="1"/>
        </ext>
      </extLst>
    </pivotField>
    <pivotField compact="0" outline="0" showAll="0">
      <items count="6">
        <item x="4"/>
        <item x="0"/>
        <item x="3"/>
        <item x="2"/>
        <item x="1"/>
        <item t="default"/>
      </items>
      <extLst>
        <ext xmlns:x14="http://schemas.microsoft.com/office/spreadsheetml/2009/9/main" uri="{2946ED86-A175-432a-8AC1-64E0C546D7DE}">
          <x14:pivotField fillDownLabels="1"/>
        </ext>
      </extLst>
    </pivotField>
    <pivotField axis="axisCol" compact="0" outline="0" showAll="0">
      <items count="5">
        <item x="1"/>
        <item x="2"/>
        <item x="3"/>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name="الأشهر" axis="axisRow" compact="0" numFmtId="14" outline="0" showAll="0">
      <items count="450">
        <item x="341"/>
        <item x="278"/>
        <item x="21"/>
        <item x="323"/>
        <item x="376"/>
        <item x="8"/>
        <item x="212"/>
        <item x="183"/>
        <item x="305"/>
        <item x="207"/>
        <item x="446"/>
        <item x="299"/>
        <item x="14"/>
        <item x="60"/>
        <item x="13"/>
        <item x="198"/>
        <item x="250"/>
        <item x="227"/>
        <item x="378"/>
        <item x="90"/>
        <item x="142"/>
        <item x="132"/>
        <item x="309"/>
        <item x="347"/>
        <item x="91"/>
        <item x="206"/>
        <item x="159"/>
        <item x="136"/>
        <item x="125"/>
        <item x="443"/>
        <item x="301"/>
        <item x="281"/>
        <item x="205"/>
        <item x="392"/>
        <item x="285"/>
        <item x="259"/>
        <item x="20"/>
        <item x="342"/>
        <item x="336"/>
        <item x="265"/>
        <item x="139"/>
        <item x="399"/>
        <item x="381"/>
        <item x="96"/>
        <item x="238"/>
        <item x="398"/>
        <item x="11"/>
        <item x="256"/>
        <item x="437"/>
        <item x="344"/>
        <item x="417"/>
        <item x="416"/>
        <item x="388"/>
        <item x="196"/>
        <item x="352"/>
        <item x="210"/>
        <item x="16"/>
        <item x="94"/>
        <item x="219"/>
        <item x="147"/>
        <item x="317"/>
        <item x="181"/>
        <item x="77"/>
        <item x="269"/>
        <item x="61"/>
        <item x="374"/>
        <item x="365"/>
        <item x="233"/>
        <item x="419"/>
        <item x="38"/>
        <item x="307"/>
        <item x="415"/>
        <item x="295"/>
        <item x="271"/>
        <item x="148"/>
        <item x="252"/>
        <item x="319"/>
        <item x="314"/>
        <item x="45"/>
        <item x="163"/>
        <item x="326"/>
        <item x="268"/>
        <item x="19"/>
        <item x="444"/>
        <item x="179"/>
        <item x="272"/>
        <item x="328"/>
        <item x="423"/>
        <item x="141"/>
        <item x="291"/>
        <item x="243"/>
        <item x="80"/>
        <item x="421"/>
        <item x="157"/>
        <item x="203"/>
        <item x="260"/>
        <item x="442"/>
        <item x="303"/>
        <item x="414"/>
        <item x="274"/>
        <item x="138"/>
        <item x="325"/>
        <item x="292"/>
        <item x="41"/>
        <item x="106"/>
        <item x="25"/>
        <item x="312"/>
        <item x="224"/>
        <item x="300"/>
        <item x="225"/>
        <item x="32"/>
        <item x="70"/>
        <item x="57"/>
        <item x="215"/>
        <item x="438"/>
        <item x="333"/>
        <item x="72"/>
        <item x="209"/>
        <item x="369"/>
        <item x="331"/>
        <item x="413"/>
        <item x="213"/>
        <item x="137"/>
        <item x="126"/>
        <item x="228"/>
        <item x="430"/>
        <item x="425"/>
        <item x="113"/>
        <item x="357"/>
        <item x="0"/>
        <item x="190"/>
        <item x="409"/>
        <item x="412"/>
        <item x="73"/>
        <item x="358"/>
        <item x="63"/>
        <item x="287"/>
        <item x="310"/>
        <item x="348"/>
        <item x="448"/>
        <item x="97"/>
        <item x="62"/>
        <item x="89"/>
        <item x="109"/>
        <item x="280"/>
        <item x="418"/>
        <item x="93"/>
        <item x="194"/>
        <item x="396"/>
        <item x="340"/>
        <item x="169"/>
        <item x="110"/>
        <item x="355"/>
        <item x="400"/>
        <item x="49"/>
        <item x="69"/>
        <item x="394"/>
        <item x="335"/>
        <item x="166"/>
        <item x="111"/>
        <item x="107"/>
        <item x="258"/>
        <item x="43"/>
        <item x="324"/>
        <item x="350"/>
        <item x="279"/>
        <item x="377"/>
        <item x="293"/>
        <item x="433"/>
        <item x="140"/>
        <item x="68"/>
        <item x="87"/>
        <item x="66"/>
        <item x="71"/>
        <item x="120"/>
        <item x="372"/>
        <item x="230"/>
        <item x="114"/>
        <item x="337"/>
        <item x="55"/>
        <item x="384"/>
        <item x="88"/>
        <item x="410"/>
        <item x="356"/>
        <item x="129"/>
        <item x="288"/>
        <item x="146"/>
        <item x="154"/>
        <item x="435"/>
        <item x="144"/>
        <item x="214"/>
        <item x="103"/>
        <item x="26"/>
        <item x="431"/>
        <item x="379"/>
        <item x="74"/>
        <item x="6"/>
        <item x="226"/>
        <item x="86"/>
        <item x="100"/>
        <item x="143"/>
        <item x="101"/>
        <item x="118"/>
        <item x="115"/>
        <item x="440"/>
        <item x="363"/>
        <item x="302"/>
        <item x="370"/>
        <item x="180"/>
        <item x="447"/>
        <item x="75"/>
        <item x="167"/>
        <item x="39"/>
        <item x="368"/>
        <item x="318"/>
        <item x="247"/>
        <item x="162"/>
        <item x="48"/>
        <item x="173"/>
        <item x="189"/>
        <item x="395"/>
        <item x="22"/>
        <item x="5"/>
        <item x="135"/>
        <item x="128"/>
        <item x="29"/>
        <item x="188"/>
        <item x="351"/>
        <item x="218"/>
        <item x="359"/>
        <item x="40"/>
        <item x="249"/>
        <item x="327"/>
        <item x="270"/>
        <item x="185"/>
        <item x="371"/>
        <item x="47"/>
        <item x="131"/>
        <item x="168"/>
        <item x="191"/>
        <item x="208"/>
        <item x="145"/>
        <item x="98"/>
        <item x="235"/>
        <item x="156"/>
        <item x="9"/>
        <item x="202"/>
        <item x="428"/>
        <item x="2"/>
        <item x="313"/>
        <item x="99"/>
        <item x="59"/>
        <item x="51"/>
        <item x="10"/>
        <item x="116"/>
        <item x="44"/>
        <item x="119"/>
        <item x="155"/>
        <item x="200"/>
        <item x="289"/>
        <item x="175"/>
        <item x="222"/>
        <item x="28"/>
        <item x="149"/>
        <item x="187"/>
        <item x="229"/>
        <item x="408"/>
        <item x="161"/>
        <item x="31"/>
        <item x="362"/>
        <item x="231"/>
        <item x="311"/>
        <item x="308"/>
        <item x="346"/>
        <item x="15"/>
        <item x="182"/>
        <item x="50"/>
        <item x="18"/>
        <item x="3"/>
        <item x="387"/>
        <item x="178"/>
        <item x="386"/>
        <item x="104"/>
        <item x="434"/>
        <item x="165"/>
        <item x="134"/>
        <item x="236"/>
        <item x="427"/>
        <item x="321"/>
        <item x="102"/>
        <item x="150"/>
        <item x="367"/>
        <item x="275"/>
        <item x="186"/>
        <item x="406"/>
        <item x="306"/>
        <item x="246"/>
        <item x="262"/>
        <item x="389"/>
        <item x="12"/>
        <item x="254"/>
        <item x="204"/>
        <item x="380"/>
        <item x="37"/>
        <item x="329"/>
        <item x="320"/>
        <item x="199"/>
        <item x="221"/>
        <item x="216"/>
        <item x="232"/>
        <item x="64"/>
        <item x="170"/>
        <item x="192"/>
        <item x="339"/>
        <item x="251"/>
        <item x="345"/>
        <item x="390"/>
        <item x="53"/>
        <item x="361"/>
        <item x="92"/>
        <item x="391"/>
        <item x="315"/>
        <item x="197"/>
        <item x="402"/>
        <item x="353"/>
        <item x="349"/>
        <item x="27"/>
        <item x="290"/>
        <item x="360"/>
        <item x="117"/>
        <item x="242"/>
        <item x="282"/>
        <item x="240"/>
        <item x="160"/>
        <item x="123"/>
        <item x="407"/>
        <item x="404"/>
        <item x="220"/>
        <item x="264"/>
        <item x="30"/>
        <item x="82"/>
        <item x="322"/>
        <item x="276"/>
        <item x="239"/>
        <item x="237"/>
        <item x="255"/>
        <item x="127"/>
        <item x="401"/>
        <item x="1"/>
        <item x="153"/>
        <item x="420"/>
        <item x="4"/>
        <item x="397"/>
        <item x="338"/>
        <item x="373"/>
        <item x="403"/>
        <item x="58"/>
        <item x="267"/>
        <item x="445"/>
        <item x="108"/>
        <item x="364"/>
        <item x="383"/>
        <item x="261"/>
        <item x="133"/>
        <item x="177"/>
        <item x="78"/>
        <item x="24"/>
        <item x="79"/>
        <item x="34"/>
        <item x="193"/>
        <item x="429"/>
        <item x="393"/>
        <item x="76"/>
        <item x="298"/>
        <item x="286"/>
        <item x="124"/>
        <item x="211"/>
        <item x="382"/>
        <item x="375"/>
        <item x="266"/>
        <item x="441"/>
        <item x="174"/>
        <item x="112"/>
        <item x="7"/>
        <item x="354"/>
        <item x="130"/>
        <item x="36"/>
        <item x="385"/>
        <item x="273"/>
        <item x="426"/>
        <item x="304"/>
        <item x="332"/>
        <item x="65"/>
        <item x="366"/>
        <item x="151"/>
        <item x="330"/>
        <item x="52"/>
        <item x="217"/>
        <item x="411"/>
        <item x="248"/>
        <item x="33"/>
        <item x="23"/>
        <item x="424"/>
        <item x="436"/>
        <item x="343"/>
        <item x="296"/>
        <item x="17"/>
        <item x="245"/>
        <item x="54"/>
        <item x="35"/>
        <item x="334"/>
        <item x="223"/>
        <item x="257"/>
        <item x="184"/>
        <item x="122"/>
        <item x="422"/>
        <item x="152"/>
        <item x="105"/>
        <item x="176"/>
        <item x="405"/>
        <item x="241"/>
        <item x="81"/>
        <item x="244"/>
        <item x="83"/>
        <item x="432"/>
        <item x="283"/>
        <item x="294"/>
        <item x="158"/>
        <item x="195"/>
        <item x="46"/>
        <item x="253"/>
        <item x="164"/>
        <item x="85"/>
        <item x="172"/>
        <item x="316"/>
        <item x="201"/>
        <item x="234"/>
        <item x="284"/>
        <item x="171"/>
        <item x="67"/>
        <item x="95"/>
        <item x="439"/>
        <item x="263"/>
        <item x="84"/>
        <item x="56"/>
        <item x="121"/>
        <item x="42"/>
        <item x="277"/>
        <item x="297"/>
        <item t="default"/>
      </items>
      <extLst>
        <ext xmlns:x14="http://schemas.microsoft.com/office/spreadsheetml/2009/9/main" uri="{2946ED86-A175-432a-8AC1-64E0C546D7DE}">
          <x14:pivotField fillDownLabels="1"/>
        </ext>
      </extLst>
    </pivotField>
    <pivotField compact="0" numFmtId="43"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compact="0" numFmtId="43" outline="0" showAll="0">
      <extLst>
        <ext xmlns:x14="http://schemas.microsoft.com/office/spreadsheetml/2009/9/main" uri="{2946ED86-A175-432a-8AC1-64E0C546D7DE}">
          <x14:pivotField fillDownLabels="1"/>
        </ext>
      </extLst>
    </pivotField>
    <pivotField axis="axisCol"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5">
        <item x="2"/>
        <item x="3"/>
        <item x="1"/>
        <item x="0"/>
        <item t="default"/>
      </items>
      <extLst>
        <ext xmlns:x14="http://schemas.microsoft.com/office/spreadsheetml/2009/9/main" uri="{2946ED86-A175-432a-8AC1-64E0C546D7DE}">
          <x14:pivotField fillDownLabels="1"/>
        </ext>
      </extLst>
    </pivotField>
    <pivotField compact="0" outline="0" showAll="0">
      <items count="12">
        <item x="0"/>
        <item x="6"/>
        <item x="8"/>
        <item x="5"/>
        <item x="2"/>
        <item x="10"/>
        <item x="9"/>
        <item x="3"/>
        <item x="1"/>
        <item x="4"/>
        <item x="7"/>
        <item t="default"/>
      </items>
      <extLst>
        <ext xmlns:x14="http://schemas.microsoft.com/office/spreadsheetml/2009/9/main" uri="{2946ED86-A175-432a-8AC1-64E0C546D7DE}">
          <x14:pivotField fillDownLabels="1"/>
        </ext>
      </extLst>
    </pivotField>
  </pivotFields>
  <rowFields count="1">
    <field x="4"/>
  </rowFields>
  <rowItems count="4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t="grand">
      <x/>
    </i>
  </rowItems>
  <colFields count="2">
    <field x="8"/>
    <field x="2"/>
  </colFields>
  <colItems count="7">
    <i>
      <x/>
      <x/>
    </i>
    <i r="1">
      <x v="1"/>
    </i>
    <i t="default">
      <x/>
    </i>
    <i>
      <x v="1"/>
      <x v="2"/>
    </i>
    <i r="1">
      <x v="3"/>
    </i>
    <i t="default">
      <x v="1"/>
    </i>
    <i t="grand">
      <x/>
    </i>
  </colItems>
  <dataFields count="1">
    <dataField name="Sum of عدد المنتجات"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F7F752-EBD7-41A0-957C-DF8ECD9F0D13}" name="PivotTable3"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3:G16" firstHeaderRow="1" firstDataRow="2" firstDataCol="2"/>
  <pivotFields count="11">
    <pivotField axis="axisRow" compact="0" outline="0" showAll="0" defaultSubtotal="0">
      <items count="12">
        <item x="0"/>
        <item x="8"/>
        <item x="10"/>
        <item x="7"/>
        <item x="2"/>
        <item x="6"/>
        <item x="5"/>
        <item x="11"/>
        <item x="3"/>
        <item x="1"/>
        <item x="4"/>
        <item x="9"/>
      </items>
    </pivotField>
    <pivotField compact="0" outline="0" showAll="0" defaultSubtotal="0">
      <items count="5">
        <item x="4"/>
        <item x="0"/>
        <item x="1"/>
        <item x="3"/>
        <item x="2"/>
      </items>
    </pivotField>
    <pivotField axis="axisCol" compact="0" outline="0" showAll="0" defaultSubtotal="0">
      <items count="4">
        <item x="1"/>
        <item x="2"/>
        <item x="3"/>
        <item x="0"/>
      </items>
    </pivotField>
    <pivotField compact="0" outline="0" showAll="0" defaultSubtotal="0"/>
    <pivotField compact="0" numFmtId="166" outline="0" showAll="0" defaultSubtotal="0">
      <items count="449">
        <item x="341"/>
        <item x="278"/>
        <item x="21"/>
        <item x="323"/>
        <item x="376"/>
        <item x="8"/>
        <item x="212"/>
        <item x="183"/>
        <item x="305"/>
        <item x="207"/>
        <item x="446"/>
        <item x="299"/>
        <item x="14"/>
        <item x="60"/>
        <item x="13"/>
        <item x="198"/>
        <item x="250"/>
        <item x="227"/>
        <item x="378"/>
        <item x="90"/>
        <item x="142"/>
        <item x="132"/>
        <item x="309"/>
        <item x="347"/>
        <item x="91"/>
        <item x="206"/>
        <item x="159"/>
        <item x="136"/>
        <item x="125"/>
        <item x="443"/>
        <item x="301"/>
        <item x="281"/>
        <item x="205"/>
        <item x="392"/>
        <item x="285"/>
        <item x="259"/>
        <item x="20"/>
        <item x="342"/>
        <item x="336"/>
        <item x="265"/>
        <item x="139"/>
        <item x="399"/>
        <item x="381"/>
        <item x="96"/>
        <item x="238"/>
        <item x="398"/>
        <item x="11"/>
        <item x="256"/>
        <item x="437"/>
        <item x="344"/>
        <item x="417"/>
        <item x="416"/>
        <item x="388"/>
        <item x="196"/>
        <item x="352"/>
        <item x="210"/>
        <item x="16"/>
        <item x="94"/>
        <item x="219"/>
        <item x="147"/>
        <item x="317"/>
        <item x="181"/>
        <item x="77"/>
        <item x="269"/>
        <item x="61"/>
        <item x="374"/>
        <item x="365"/>
        <item x="233"/>
        <item x="419"/>
        <item x="38"/>
        <item x="307"/>
        <item x="415"/>
        <item x="295"/>
        <item x="271"/>
        <item x="148"/>
        <item x="252"/>
        <item x="319"/>
        <item x="314"/>
        <item x="45"/>
        <item x="163"/>
        <item x="326"/>
        <item x="268"/>
        <item x="19"/>
        <item x="444"/>
        <item x="179"/>
        <item x="272"/>
        <item x="328"/>
        <item x="423"/>
        <item x="141"/>
        <item x="291"/>
        <item x="243"/>
        <item x="80"/>
        <item x="421"/>
        <item x="157"/>
        <item x="203"/>
        <item x="260"/>
        <item x="442"/>
        <item x="303"/>
        <item x="414"/>
        <item x="274"/>
        <item x="138"/>
        <item x="325"/>
        <item x="292"/>
        <item x="41"/>
        <item x="106"/>
        <item x="25"/>
        <item x="312"/>
        <item x="224"/>
        <item x="300"/>
        <item x="225"/>
        <item x="32"/>
        <item x="70"/>
        <item x="57"/>
        <item x="215"/>
        <item x="438"/>
        <item x="333"/>
        <item x="72"/>
        <item x="209"/>
        <item x="369"/>
        <item x="331"/>
        <item x="413"/>
        <item x="213"/>
        <item x="137"/>
        <item x="126"/>
        <item x="228"/>
        <item x="430"/>
        <item x="425"/>
        <item x="113"/>
        <item x="357"/>
        <item x="0"/>
        <item x="190"/>
        <item x="409"/>
        <item x="412"/>
        <item x="73"/>
        <item x="358"/>
        <item x="63"/>
        <item x="287"/>
        <item x="310"/>
        <item x="348"/>
        <item x="448"/>
        <item x="97"/>
        <item x="62"/>
        <item x="89"/>
        <item x="109"/>
        <item x="280"/>
        <item x="418"/>
        <item x="93"/>
        <item x="194"/>
        <item x="396"/>
        <item x="340"/>
        <item x="169"/>
        <item x="110"/>
        <item x="355"/>
        <item x="400"/>
        <item x="49"/>
        <item x="69"/>
        <item x="394"/>
        <item x="335"/>
        <item x="166"/>
        <item x="111"/>
        <item x="107"/>
        <item x="258"/>
        <item x="43"/>
        <item x="324"/>
        <item x="350"/>
        <item x="279"/>
        <item x="377"/>
        <item x="293"/>
        <item x="433"/>
        <item x="140"/>
        <item x="68"/>
        <item x="87"/>
        <item x="66"/>
        <item x="71"/>
        <item x="120"/>
        <item x="372"/>
        <item x="230"/>
        <item x="114"/>
        <item x="337"/>
        <item x="55"/>
        <item x="384"/>
        <item x="88"/>
        <item x="410"/>
        <item x="356"/>
        <item x="129"/>
        <item x="288"/>
        <item x="146"/>
        <item x="154"/>
        <item x="435"/>
        <item x="144"/>
        <item x="214"/>
        <item x="103"/>
        <item x="26"/>
        <item x="431"/>
        <item x="379"/>
        <item x="74"/>
        <item x="6"/>
        <item x="226"/>
        <item x="86"/>
        <item x="100"/>
        <item x="143"/>
        <item x="101"/>
        <item x="118"/>
        <item x="115"/>
        <item x="440"/>
        <item x="363"/>
        <item x="302"/>
        <item x="370"/>
        <item x="180"/>
        <item x="447"/>
        <item x="75"/>
        <item x="167"/>
        <item x="39"/>
        <item x="368"/>
        <item x="318"/>
        <item x="247"/>
        <item x="162"/>
        <item x="48"/>
        <item x="173"/>
        <item x="189"/>
        <item x="395"/>
        <item x="22"/>
        <item x="5"/>
        <item x="135"/>
        <item x="128"/>
        <item x="29"/>
        <item x="188"/>
        <item x="351"/>
        <item x="218"/>
        <item x="359"/>
        <item x="40"/>
        <item x="249"/>
        <item x="327"/>
        <item x="270"/>
        <item x="185"/>
        <item x="371"/>
        <item x="47"/>
        <item x="131"/>
        <item x="168"/>
        <item x="191"/>
        <item x="208"/>
        <item x="145"/>
        <item x="98"/>
        <item x="235"/>
        <item x="156"/>
        <item x="9"/>
        <item x="202"/>
        <item x="428"/>
        <item x="2"/>
        <item x="313"/>
        <item x="99"/>
        <item x="59"/>
        <item x="51"/>
        <item x="10"/>
        <item x="116"/>
        <item x="44"/>
        <item x="119"/>
        <item x="155"/>
        <item x="200"/>
        <item x="289"/>
        <item x="175"/>
        <item x="222"/>
        <item x="28"/>
        <item x="149"/>
        <item x="187"/>
        <item x="229"/>
        <item x="408"/>
        <item x="161"/>
        <item x="31"/>
        <item x="362"/>
        <item x="231"/>
        <item x="311"/>
        <item x="308"/>
        <item x="346"/>
        <item x="15"/>
        <item x="182"/>
        <item x="50"/>
        <item x="18"/>
        <item x="3"/>
        <item x="387"/>
        <item x="178"/>
        <item x="386"/>
        <item x="104"/>
        <item x="434"/>
        <item x="165"/>
        <item x="134"/>
        <item x="236"/>
        <item x="427"/>
        <item x="321"/>
        <item x="102"/>
        <item x="150"/>
        <item x="367"/>
        <item x="275"/>
        <item x="186"/>
        <item x="406"/>
        <item x="306"/>
        <item x="246"/>
        <item x="262"/>
        <item x="389"/>
        <item x="12"/>
        <item x="254"/>
        <item x="204"/>
        <item x="380"/>
        <item x="37"/>
        <item x="329"/>
        <item x="320"/>
        <item x="199"/>
        <item x="221"/>
        <item x="216"/>
        <item x="232"/>
        <item x="64"/>
        <item x="170"/>
        <item x="192"/>
        <item x="339"/>
        <item x="251"/>
        <item x="345"/>
        <item x="390"/>
        <item x="53"/>
        <item x="361"/>
        <item x="92"/>
        <item x="391"/>
        <item x="315"/>
        <item x="197"/>
        <item x="402"/>
        <item x="353"/>
        <item x="349"/>
        <item x="27"/>
        <item x="290"/>
        <item x="360"/>
        <item x="117"/>
        <item x="242"/>
        <item x="282"/>
        <item x="240"/>
        <item x="160"/>
        <item x="123"/>
        <item x="407"/>
        <item x="404"/>
        <item x="220"/>
        <item x="264"/>
        <item x="30"/>
        <item x="82"/>
        <item x="322"/>
        <item x="276"/>
        <item x="239"/>
        <item x="237"/>
        <item x="255"/>
        <item x="127"/>
        <item x="401"/>
        <item x="1"/>
        <item x="153"/>
        <item x="420"/>
        <item x="4"/>
        <item x="397"/>
        <item x="338"/>
        <item x="373"/>
        <item x="403"/>
        <item x="58"/>
        <item x="267"/>
        <item x="445"/>
        <item x="108"/>
        <item x="364"/>
        <item x="383"/>
        <item x="261"/>
        <item x="133"/>
        <item x="177"/>
        <item x="78"/>
        <item x="24"/>
        <item x="79"/>
        <item x="34"/>
        <item x="193"/>
        <item x="429"/>
        <item x="393"/>
        <item x="76"/>
        <item x="298"/>
        <item x="286"/>
        <item x="124"/>
        <item x="211"/>
        <item x="382"/>
        <item x="375"/>
        <item x="266"/>
        <item x="441"/>
        <item x="174"/>
        <item x="112"/>
        <item x="7"/>
        <item x="354"/>
        <item x="130"/>
        <item x="36"/>
        <item x="385"/>
        <item x="273"/>
        <item x="426"/>
        <item x="304"/>
        <item x="332"/>
        <item x="65"/>
        <item x="366"/>
        <item x="151"/>
        <item x="330"/>
        <item x="52"/>
        <item x="217"/>
        <item x="411"/>
        <item x="248"/>
        <item x="33"/>
        <item x="23"/>
        <item x="424"/>
        <item x="436"/>
        <item x="343"/>
        <item x="296"/>
        <item x="17"/>
        <item x="245"/>
        <item x="54"/>
        <item x="35"/>
        <item x="334"/>
        <item x="223"/>
        <item x="257"/>
        <item x="184"/>
        <item x="122"/>
        <item x="422"/>
        <item x="152"/>
        <item x="105"/>
        <item x="176"/>
        <item x="405"/>
        <item x="241"/>
        <item x="81"/>
        <item x="244"/>
        <item x="83"/>
        <item x="432"/>
        <item x="283"/>
        <item x="294"/>
        <item x="158"/>
        <item x="195"/>
        <item x="46"/>
        <item x="253"/>
        <item x="164"/>
        <item x="85"/>
        <item x="172"/>
        <item x="316"/>
        <item x="201"/>
        <item x="234"/>
        <item x="284"/>
        <item x="171"/>
        <item x="67"/>
        <item x="95"/>
        <item x="439"/>
        <item x="263"/>
        <item x="84"/>
        <item x="56"/>
        <item x="121"/>
        <item x="42"/>
        <item x="277"/>
        <item x="297"/>
      </items>
    </pivotField>
    <pivotField compact="0" numFmtId="43" outline="0" showAll="0" defaultSubtotal="0"/>
    <pivotField dataField="1" compact="0" numFmtId="164" outline="0" showAll="0" defaultSubtotal="0"/>
    <pivotField compact="0" numFmtId="43" outline="0" showAll="0" defaultSubtotal="0"/>
    <pivotField compact="0" outline="0" subtotalTop="0" showAll="0" defaultSubtotal="0">
      <items count="2">
        <item n="الغرب" x="0"/>
        <item n="الشرق" x="1"/>
      </items>
    </pivotField>
    <pivotField compact="0" outline="0" subtotalTop="0" showAll="0" defaultSubtotal="0">
      <items count="4">
        <item x="2"/>
        <item x="3"/>
        <item x="1"/>
        <item x="0"/>
      </items>
    </pivotField>
    <pivotField axis="axisRow" compact="0" outline="0" subtotalTop="0" showAll="0" defaultSubtotal="0">
      <items count="11">
        <item x="0"/>
        <item x="6"/>
        <item x="8"/>
        <item x="5"/>
        <item x="2"/>
        <item sd="0" x="10"/>
        <item x="9"/>
        <item x="3"/>
        <item x="1"/>
        <item x="4"/>
        <item x="7"/>
      </items>
    </pivotField>
  </pivotFields>
  <rowFields count="2">
    <field x="10"/>
    <field x="0"/>
  </rowFields>
  <rowItems count="12">
    <i>
      <x/>
      <x/>
    </i>
    <i>
      <x v="1"/>
      <x v="1"/>
    </i>
    <i>
      <x v="2"/>
      <x v="2"/>
    </i>
    <i>
      <x v="3"/>
      <x v="3"/>
    </i>
    <i>
      <x v="4"/>
      <x v="4"/>
    </i>
    <i>
      <x v="5"/>
    </i>
    <i>
      <x v="6"/>
      <x v="7"/>
    </i>
    <i>
      <x v="7"/>
      <x v="8"/>
    </i>
    <i>
      <x v="8"/>
      <x v="9"/>
    </i>
    <i>
      <x v="9"/>
      <x v="10"/>
    </i>
    <i>
      <x v="10"/>
      <x v="11"/>
    </i>
    <i t="grand">
      <x/>
    </i>
  </rowItems>
  <colFields count="1">
    <field x="2"/>
  </colFields>
  <colItems count="5">
    <i>
      <x/>
    </i>
    <i>
      <x v="1"/>
    </i>
    <i>
      <x v="2"/>
    </i>
    <i>
      <x v="3"/>
    </i>
    <i t="grand">
      <x/>
    </i>
  </colItems>
  <dataFields count="1">
    <dataField name="Sum of عدد المنتجات"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51C7AD-348A-4291-8B76-59B52E4753FB}" name="PivotTable6"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4:G18" firstHeaderRow="1" firstDataRow="2" firstDataCol="1"/>
  <pivotFields count="11">
    <pivotField axis="axisRow" compact="0" outline="0" showAll="0">
      <items count="13">
        <item x="0"/>
        <item x="8"/>
        <item x="10"/>
        <item x="7"/>
        <item x="2"/>
        <item x="6"/>
        <item x="5"/>
        <item x="11"/>
        <item x="3"/>
        <item x="1"/>
        <item x="4"/>
        <item x="9"/>
        <item t="default"/>
      </items>
    </pivotField>
    <pivotField axis="axisCol" compact="0" outline="0" multipleItemSelectionAllowed="1" showAll="0">
      <items count="6">
        <item x="4"/>
        <item x="0"/>
        <item x="3"/>
        <item x="2"/>
        <item x="1"/>
        <item t="default"/>
      </items>
    </pivotField>
    <pivotField compact="0" outline="0" showAll="0">
      <items count="5">
        <item x="1"/>
        <item x="2"/>
        <item x="3"/>
        <item x="0"/>
        <item t="default"/>
      </items>
    </pivotField>
    <pivotField compact="0" outline="0" multipleItemSelectionAllowed="1" showAll="0">
      <items count="6">
        <item x="3"/>
        <item x="1"/>
        <item x="0"/>
        <item x="4"/>
        <item x="2"/>
        <item t="default"/>
      </items>
    </pivotField>
    <pivotField compact="0" numFmtId="166" outline="0" showAll="0">
      <items count="450">
        <item x="341"/>
        <item x="278"/>
        <item x="21"/>
        <item x="323"/>
        <item x="376"/>
        <item x="8"/>
        <item x="212"/>
        <item x="183"/>
        <item x="305"/>
        <item x="207"/>
        <item x="446"/>
        <item x="299"/>
        <item x="14"/>
        <item x="60"/>
        <item x="13"/>
        <item x="198"/>
        <item x="250"/>
        <item x="227"/>
        <item x="378"/>
        <item x="90"/>
        <item x="142"/>
        <item x="132"/>
        <item x="309"/>
        <item x="347"/>
        <item x="91"/>
        <item x="206"/>
        <item x="159"/>
        <item x="136"/>
        <item x="125"/>
        <item x="443"/>
        <item x="301"/>
        <item x="281"/>
        <item x="205"/>
        <item x="392"/>
        <item x="285"/>
        <item x="259"/>
        <item x="20"/>
        <item x="342"/>
        <item x="336"/>
        <item x="265"/>
        <item x="139"/>
        <item x="399"/>
        <item x="381"/>
        <item x="96"/>
        <item x="238"/>
        <item x="398"/>
        <item x="11"/>
        <item x="256"/>
        <item x="437"/>
        <item x="344"/>
        <item x="417"/>
        <item x="416"/>
        <item x="388"/>
        <item x="196"/>
        <item x="352"/>
        <item x="210"/>
        <item x="16"/>
        <item x="94"/>
        <item x="219"/>
        <item x="147"/>
        <item x="317"/>
        <item x="181"/>
        <item x="77"/>
        <item x="269"/>
        <item x="61"/>
        <item x="374"/>
        <item x="365"/>
        <item x="233"/>
        <item x="419"/>
        <item x="38"/>
        <item x="307"/>
        <item x="415"/>
        <item x="295"/>
        <item x="271"/>
        <item x="148"/>
        <item x="252"/>
        <item x="319"/>
        <item x="314"/>
        <item x="45"/>
        <item x="163"/>
        <item x="326"/>
        <item x="268"/>
        <item x="19"/>
        <item x="444"/>
        <item x="179"/>
        <item x="272"/>
        <item x="328"/>
        <item x="423"/>
        <item x="141"/>
        <item x="291"/>
        <item x="243"/>
        <item x="80"/>
        <item x="421"/>
        <item x="157"/>
        <item x="203"/>
        <item x="260"/>
        <item x="442"/>
        <item x="303"/>
        <item x="414"/>
        <item x="274"/>
        <item x="138"/>
        <item x="325"/>
        <item x="292"/>
        <item x="41"/>
        <item x="106"/>
        <item x="25"/>
        <item x="312"/>
        <item x="224"/>
        <item x="300"/>
        <item x="225"/>
        <item x="32"/>
        <item x="70"/>
        <item x="57"/>
        <item x="215"/>
        <item x="438"/>
        <item x="333"/>
        <item x="72"/>
        <item x="209"/>
        <item x="369"/>
        <item x="331"/>
        <item x="413"/>
        <item x="213"/>
        <item x="137"/>
        <item x="126"/>
        <item x="228"/>
        <item x="430"/>
        <item x="425"/>
        <item x="113"/>
        <item x="357"/>
        <item x="0"/>
        <item x="190"/>
        <item x="409"/>
        <item x="412"/>
        <item x="73"/>
        <item x="358"/>
        <item x="63"/>
        <item x="287"/>
        <item x="310"/>
        <item x="348"/>
        <item x="448"/>
        <item x="97"/>
        <item x="62"/>
        <item x="89"/>
        <item x="109"/>
        <item x="280"/>
        <item x="418"/>
        <item x="93"/>
        <item x="194"/>
        <item x="396"/>
        <item x="340"/>
        <item x="169"/>
        <item x="110"/>
        <item x="355"/>
        <item x="400"/>
        <item x="49"/>
        <item x="69"/>
        <item x="394"/>
        <item x="335"/>
        <item x="166"/>
        <item x="111"/>
        <item x="107"/>
        <item x="258"/>
        <item x="43"/>
        <item x="324"/>
        <item x="350"/>
        <item x="279"/>
        <item x="377"/>
        <item x="293"/>
        <item x="433"/>
        <item x="140"/>
        <item x="68"/>
        <item x="87"/>
        <item x="66"/>
        <item x="71"/>
        <item x="120"/>
        <item x="372"/>
        <item x="230"/>
        <item x="114"/>
        <item x="337"/>
        <item x="55"/>
        <item x="384"/>
        <item x="88"/>
        <item x="410"/>
        <item x="356"/>
        <item x="129"/>
        <item x="288"/>
        <item x="146"/>
        <item x="154"/>
        <item x="435"/>
        <item x="144"/>
        <item x="214"/>
        <item x="103"/>
        <item x="26"/>
        <item x="431"/>
        <item x="379"/>
        <item x="74"/>
        <item x="6"/>
        <item x="226"/>
        <item x="86"/>
        <item x="100"/>
        <item x="143"/>
        <item x="101"/>
        <item x="118"/>
        <item x="115"/>
        <item x="440"/>
        <item x="363"/>
        <item x="302"/>
        <item x="370"/>
        <item x="180"/>
        <item x="447"/>
        <item x="75"/>
        <item x="167"/>
        <item x="39"/>
        <item x="368"/>
        <item x="318"/>
        <item x="247"/>
        <item x="162"/>
        <item x="48"/>
        <item x="173"/>
        <item x="189"/>
        <item x="395"/>
        <item x="22"/>
        <item x="5"/>
        <item x="135"/>
        <item x="128"/>
        <item x="29"/>
        <item x="188"/>
        <item x="351"/>
        <item x="218"/>
        <item x="359"/>
        <item x="40"/>
        <item x="249"/>
        <item x="327"/>
        <item x="270"/>
        <item x="185"/>
        <item x="371"/>
        <item x="47"/>
        <item x="131"/>
        <item x="168"/>
        <item x="191"/>
        <item x="208"/>
        <item x="145"/>
        <item x="98"/>
        <item x="235"/>
        <item x="156"/>
        <item x="9"/>
        <item x="202"/>
        <item x="428"/>
        <item x="2"/>
        <item x="313"/>
        <item x="99"/>
        <item x="59"/>
        <item x="51"/>
        <item x="10"/>
        <item x="116"/>
        <item x="44"/>
        <item x="119"/>
        <item x="155"/>
        <item x="200"/>
        <item x="289"/>
        <item x="175"/>
        <item x="222"/>
        <item x="28"/>
        <item x="149"/>
        <item x="187"/>
        <item x="229"/>
        <item x="408"/>
        <item x="161"/>
        <item x="31"/>
        <item x="362"/>
        <item x="231"/>
        <item x="311"/>
        <item x="308"/>
        <item x="346"/>
        <item x="15"/>
        <item x="182"/>
        <item x="50"/>
        <item x="18"/>
        <item x="3"/>
        <item x="387"/>
        <item x="178"/>
        <item x="386"/>
        <item x="104"/>
        <item x="434"/>
        <item x="165"/>
        <item x="134"/>
        <item x="236"/>
        <item x="427"/>
        <item x="321"/>
        <item x="102"/>
        <item x="150"/>
        <item x="367"/>
        <item x="275"/>
        <item x="186"/>
        <item x="406"/>
        <item x="306"/>
        <item x="246"/>
        <item x="262"/>
        <item x="389"/>
        <item x="12"/>
        <item x="254"/>
        <item x="204"/>
        <item x="380"/>
        <item x="37"/>
        <item x="329"/>
        <item x="320"/>
        <item x="199"/>
        <item x="221"/>
        <item x="216"/>
        <item x="232"/>
        <item x="64"/>
        <item x="170"/>
        <item x="192"/>
        <item x="339"/>
        <item x="251"/>
        <item x="345"/>
        <item x="390"/>
        <item x="53"/>
        <item x="361"/>
        <item x="92"/>
        <item x="391"/>
        <item x="315"/>
        <item x="197"/>
        <item x="402"/>
        <item x="353"/>
        <item x="349"/>
        <item x="27"/>
        <item x="290"/>
        <item x="360"/>
        <item x="117"/>
        <item x="242"/>
        <item x="282"/>
        <item x="240"/>
        <item x="160"/>
        <item x="123"/>
        <item x="407"/>
        <item x="404"/>
        <item x="220"/>
        <item x="264"/>
        <item x="30"/>
        <item x="82"/>
        <item x="322"/>
        <item x="276"/>
        <item x="239"/>
        <item x="237"/>
        <item x="255"/>
        <item x="127"/>
        <item x="401"/>
        <item x="1"/>
        <item x="153"/>
        <item x="420"/>
        <item x="4"/>
        <item x="397"/>
        <item x="338"/>
        <item x="373"/>
        <item x="403"/>
        <item x="58"/>
        <item x="267"/>
        <item x="445"/>
        <item x="108"/>
        <item x="364"/>
        <item x="383"/>
        <item x="261"/>
        <item x="133"/>
        <item x="177"/>
        <item x="78"/>
        <item x="24"/>
        <item x="79"/>
        <item x="34"/>
        <item x="193"/>
        <item x="429"/>
        <item x="393"/>
        <item x="76"/>
        <item x="298"/>
        <item x="286"/>
        <item x="124"/>
        <item x="211"/>
        <item x="382"/>
        <item x="375"/>
        <item x="266"/>
        <item x="441"/>
        <item x="174"/>
        <item x="112"/>
        <item x="7"/>
        <item x="354"/>
        <item x="130"/>
        <item x="36"/>
        <item x="385"/>
        <item x="273"/>
        <item x="426"/>
        <item x="304"/>
        <item x="332"/>
        <item x="65"/>
        <item x="366"/>
        <item x="151"/>
        <item x="330"/>
        <item x="52"/>
        <item x="217"/>
        <item x="411"/>
        <item x="248"/>
        <item x="33"/>
        <item x="23"/>
        <item x="424"/>
        <item x="436"/>
        <item x="343"/>
        <item x="296"/>
        <item x="17"/>
        <item x="245"/>
        <item x="54"/>
        <item x="35"/>
        <item x="334"/>
        <item x="223"/>
        <item x="257"/>
        <item x="184"/>
        <item x="122"/>
        <item x="422"/>
        <item x="152"/>
        <item x="105"/>
        <item x="176"/>
        <item x="405"/>
        <item x="241"/>
        <item x="81"/>
        <item x="244"/>
        <item x="83"/>
        <item x="432"/>
        <item x="283"/>
        <item x="294"/>
        <item x="158"/>
        <item x="195"/>
        <item x="46"/>
        <item x="253"/>
        <item x="164"/>
        <item x="85"/>
        <item x="172"/>
        <item x="316"/>
        <item x="201"/>
        <item x="234"/>
        <item x="284"/>
        <item x="171"/>
        <item x="67"/>
        <item x="95"/>
        <item x="439"/>
        <item x="263"/>
        <item x="84"/>
        <item x="56"/>
        <item x="121"/>
        <item x="42"/>
        <item x="277"/>
        <item x="297"/>
        <item t="default"/>
      </items>
    </pivotField>
    <pivotField compact="0" numFmtId="43" outline="0" showAll="0"/>
    <pivotField dataField="1" compact="0" numFmtId="164" outline="0" showAll="0"/>
    <pivotField compact="0" numFmtId="43" outline="0" showAll="0"/>
    <pivotField compact="0" outline="0" showAll="0">
      <items count="3">
        <item x="0"/>
        <item x="1"/>
        <item t="default"/>
      </items>
    </pivotField>
    <pivotField compact="0" outline="0" showAll="0">
      <items count="5">
        <item x="2"/>
        <item x="3"/>
        <item x="1"/>
        <item x="0"/>
        <item t="default"/>
      </items>
    </pivotField>
    <pivotField compact="0" outline="0" showAll="0">
      <items count="12">
        <item x="0"/>
        <item x="6"/>
        <item x="8"/>
        <item x="5"/>
        <item x="2"/>
        <item x="10"/>
        <item x="9"/>
        <item x="3"/>
        <item x="1"/>
        <item x="4"/>
        <item x="7"/>
        <item t="default"/>
      </items>
    </pivotField>
  </pivotFields>
  <rowFields count="1">
    <field x="0"/>
  </rowFields>
  <rowItems count="13">
    <i>
      <x/>
    </i>
    <i>
      <x v="1"/>
    </i>
    <i>
      <x v="2"/>
    </i>
    <i>
      <x v="3"/>
    </i>
    <i>
      <x v="4"/>
    </i>
    <i>
      <x v="5"/>
    </i>
    <i>
      <x v="6"/>
    </i>
    <i>
      <x v="7"/>
    </i>
    <i>
      <x v="8"/>
    </i>
    <i>
      <x v="9"/>
    </i>
    <i>
      <x v="10"/>
    </i>
    <i>
      <x v="11"/>
    </i>
    <i t="grand">
      <x/>
    </i>
  </rowItems>
  <colFields count="1">
    <field x="1"/>
  </colFields>
  <colItems count="6">
    <i>
      <x/>
    </i>
    <i>
      <x v="1"/>
    </i>
    <i>
      <x v="2"/>
    </i>
    <i>
      <x v="3"/>
    </i>
    <i>
      <x v="4"/>
    </i>
    <i t="grand">
      <x/>
    </i>
  </colItems>
  <dataFields count="1">
    <dataField name="Sum of عدد المنتجات"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C6E97C-4A53-483D-A346-EA7516324139}"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G15" firstHeaderRow="1" firstDataRow="2" firstDataCol="1"/>
  <pivotFields count="11">
    <pivotField axis="axisRow" showAll="0">
      <items count="13">
        <item x="0"/>
        <item x="8"/>
        <item x="10"/>
        <item x="7"/>
        <item x="2"/>
        <item x="6"/>
        <item x="5"/>
        <item x="11"/>
        <item x="3"/>
        <item x="1"/>
        <item x="4"/>
        <item x="9"/>
        <item t="default"/>
      </items>
    </pivotField>
    <pivotField axis="axisCol" showAll="0">
      <items count="6">
        <item x="4"/>
        <item x="0"/>
        <item x="3"/>
        <item x="2"/>
        <item x="1"/>
        <item t="default"/>
      </items>
    </pivotField>
    <pivotField showAll="0">
      <items count="5">
        <item x="1"/>
        <item x="2"/>
        <item x="3"/>
        <item x="0"/>
        <item t="default"/>
      </items>
    </pivotField>
    <pivotField showAll="0"/>
    <pivotField numFmtId="166" showAll="0"/>
    <pivotField numFmtId="43" showAll="0"/>
    <pivotField dataField="1" numFmtId="164" showAll="0"/>
    <pivotField numFmtId="43" showAll="0"/>
    <pivotField showAll="0">
      <items count="3">
        <item x="0"/>
        <item x="1"/>
        <item t="default"/>
      </items>
    </pivotField>
    <pivotField showAll="0">
      <items count="5">
        <item x="2"/>
        <item x="3"/>
        <item x="1"/>
        <item x="0"/>
        <item t="default"/>
      </items>
    </pivotField>
    <pivotField showAll="0">
      <items count="12">
        <item x="0"/>
        <item x="6"/>
        <item x="8"/>
        <item x="5"/>
        <item x="2"/>
        <item x="10"/>
        <item x="9"/>
        <item x="3"/>
        <item x="1"/>
        <item x="4"/>
        <item x="7"/>
        <item t="default"/>
      </items>
    </pivotField>
  </pivotFields>
  <rowFields count="1">
    <field x="0"/>
  </rowFields>
  <rowItems count="13">
    <i>
      <x/>
    </i>
    <i>
      <x v="1"/>
    </i>
    <i>
      <x v="2"/>
    </i>
    <i>
      <x v="3"/>
    </i>
    <i>
      <x v="4"/>
    </i>
    <i>
      <x v="5"/>
    </i>
    <i>
      <x v="6"/>
    </i>
    <i>
      <x v="7"/>
    </i>
    <i>
      <x v="8"/>
    </i>
    <i>
      <x v="9"/>
    </i>
    <i>
      <x v="10"/>
    </i>
    <i>
      <x v="11"/>
    </i>
    <i t="grand">
      <x/>
    </i>
  </rowItems>
  <colFields count="1">
    <field x="1"/>
  </colFields>
  <colItems count="6">
    <i>
      <x/>
    </i>
    <i>
      <x v="1"/>
    </i>
    <i>
      <x v="2"/>
    </i>
    <i>
      <x v="3"/>
    </i>
    <i>
      <x v="4"/>
    </i>
    <i t="grand">
      <x/>
    </i>
  </colItems>
  <dataFields count="1">
    <dataField name="Sum of عدد المنتجات" fld="6" baseField="0" baseItem="0"/>
  </dataFields>
  <chartFormats count="219">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4"/>
          </reference>
        </references>
      </pivotArea>
    </chartFormat>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2">
          <reference field="4294967294" count="1" selected="0">
            <x v="0"/>
          </reference>
          <reference field="1" count="1" selected="0">
            <x v="4"/>
          </reference>
        </references>
      </pivotArea>
    </chartFormat>
    <chartFormat chart="2" format="5" series="1">
      <pivotArea type="data" outline="0" fieldPosition="0">
        <references count="3">
          <reference field="4294967294" count="1" selected="0">
            <x v="0"/>
          </reference>
          <reference field="0" count="1" selected="0">
            <x v="5"/>
          </reference>
          <reference field="1" count="1" selected="0">
            <x v="0"/>
          </reference>
        </references>
      </pivotArea>
    </chartFormat>
    <chartFormat chart="2" format="6" series="1">
      <pivotArea type="data" outline="0" fieldPosition="0">
        <references count="3">
          <reference field="4294967294" count="1" selected="0">
            <x v="0"/>
          </reference>
          <reference field="0" count="1" selected="0">
            <x v="6"/>
          </reference>
          <reference field="1" count="1" selected="0">
            <x v="0"/>
          </reference>
        </references>
      </pivotArea>
    </chartFormat>
    <chartFormat chart="2" format="7" series="1">
      <pivotArea type="data" outline="0" fieldPosition="0">
        <references count="3">
          <reference field="4294967294" count="1" selected="0">
            <x v="0"/>
          </reference>
          <reference field="0" count="1" selected="0">
            <x v="7"/>
          </reference>
          <reference field="1" count="1" selected="0">
            <x v="0"/>
          </reference>
        </references>
      </pivotArea>
    </chartFormat>
    <chartFormat chart="2" format="8" series="1">
      <pivotArea type="data" outline="0" fieldPosition="0">
        <references count="3">
          <reference field="4294967294" count="1" selected="0">
            <x v="0"/>
          </reference>
          <reference field="0" count="1" selected="0">
            <x v="8"/>
          </reference>
          <reference field="1" count="1" selected="0">
            <x v="0"/>
          </reference>
        </references>
      </pivotArea>
    </chartFormat>
    <chartFormat chart="2" format="9" series="1">
      <pivotArea type="data" outline="0" fieldPosition="0">
        <references count="3">
          <reference field="4294967294" count="1" selected="0">
            <x v="0"/>
          </reference>
          <reference field="0" count="1" selected="0">
            <x v="9"/>
          </reference>
          <reference field="1" count="1" selected="0">
            <x v="0"/>
          </reference>
        </references>
      </pivotArea>
    </chartFormat>
    <chartFormat chart="2" format="10" series="1">
      <pivotArea type="data" outline="0" fieldPosition="0">
        <references count="3">
          <reference field="4294967294" count="1" selected="0">
            <x v="0"/>
          </reference>
          <reference field="0" count="1" selected="0">
            <x v="10"/>
          </reference>
          <reference field="1" count="1" selected="0">
            <x v="0"/>
          </reference>
        </references>
      </pivotArea>
    </chartFormat>
    <chartFormat chart="2" format="11" series="1">
      <pivotArea type="data" outline="0" fieldPosition="0">
        <references count="3">
          <reference field="4294967294" count="1" selected="0">
            <x v="0"/>
          </reference>
          <reference field="0" count="1" selected="0">
            <x v="11"/>
          </reference>
          <reference field="1" count="1" selected="0">
            <x v="0"/>
          </reference>
        </references>
      </pivotArea>
    </chartFormat>
    <chartFormat chart="2" format="12" series="1">
      <pivotArea type="data" outline="0" fieldPosition="0">
        <references count="3">
          <reference field="4294967294" count="1" selected="0">
            <x v="0"/>
          </reference>
          <reference field="0" count="1" selected="0">
            <x v="0"/>
          </reference>
          <reference field="1" count="1" selected="0">
            <x v="1"/>
          </reference>
        </references>
      </pivotArea>
    </chartFormat>
    <chartFormat chart="2" format="13" series="1">
      <pivotArea type="data" outline="0" fieldPosition="0">
        <references count="3">
          <reference field="4294967294" count="1" selected="0">
            <x v="0"/>
          </reference>
          <reference field="0" count="1" selected="0">
            <x v="1"/>
          </reference>
          <reference field="1" count="1" selected="0">
            <x v="1"/>
          </reference>
        </references>
      </pivotArea>
    </chartFormat>
    <chartFormat chart="2" format="14" series="1">
      <pivotArea type="data" outline="0" fieldPosition="0">
        <references count="3">
          <reference field="4294967294" count="1" selected="0">
            <x v="0"/>
          </reference>
          <reference field="0" count="1" selected="0">
            <x v="2"/>
          </reference>
          <reference field="1" count="1" selected="0">
            <x v="1"/>
          </reference>
        </references>
      </pivotArea>
    </chartFormat>
    <chartFormat chart="2" format="15" series="1">
      <pivotArea type="data" outline="0" fieldPosition="0">
        <references count="3">
          <reference field="4294967294" count="1" selected="0">
            <x v="0"/>
          </reference>
          <reference field="0" count="1" selected="0">
            <x v="3"/>
          </reference>
          <reference field="1" count="1" selected="0">
            <x v="1"/>
          </reference>
        </references>
      </pivotArea>
    </chartFormat>
    <chartFormat chart="2" format="16" series="1">
      <pivotArea type="data" outline="0" fieldPosition="0">
        <references count="3">
          <reference field="4294967294" count="1" selected="0">
            <x v="0"/>
          </reference>
          <reference field="0" count="1" selected="0">
            <x v="4"/>
          </reference>
          <reference field="1" count="1" selected="0">
            <x v="1"/>
          </reference>
        </references>
      </pivotArea>
    </chartFormat>
    <chartFormat chart="2" format="17" series="1">
      <pivotArea type="data" outline="0" fieldPosition="0">
        <references count="3">
          <reference field="4294967294" count="1" selected="0">
            <x v="0"/>
          </reference>
          <reference field="0" count="1" selected="0">
            <x v="5"/>
          </reference>
          <reference field="1" count="1" selected="0">
            <x v="1"/>
          </reference>
        </references>
      </pivotArea>
    </chartFormat>
    <chartFormat chart="2" format="18" series="1">
      <pivotArea type="data" outline="0" fieldPosition="0">
        <references count="3">
          <reference field="4294967294" count="1" selected="0">
            <x v="0"/>
          </reference>
          <reference field="0" count="1" selected="0">
            <x v="6"/>
          </reference>
          <reference field="1" count="1" selected="0">
            <x v="1"/>
          </reference>
        </references>
      </pivotArea>
    </chartFormat>
    <chartFormat chart="2" format="19" series="1">
      <pivotArea type="data" outline="0" fieldPosition="0">
        <references count="3">
          <reference field="4294967294" count="1" selected="0">
            <x v="0"/>
          </reference>
          <reference field="0" count="1" selected="0">
            <x v="7"/>
          </reference>
          <reference field="1" count="1" selected="0">
            <x v="1"/>
          </reference>
        </references>
      </pivotArea>
    </chartFormat>
    <chartFormat chart="2" format="20" series="1">
      <pivotArea type="data" outline="0" fieldPosition="0">
        <references count="3">
          <reference field="4294967294" count="1" selected="0">
            <x v="0"/>
          </reference>
          <reference field="0" count="1" selected="0">
            <x v="8"/>
          </reference>
          <reference field="1" count="1" selected="0">
            <x v="1"/>
          </reference>
        </references>
      </pivotArea>
    </chartFormat>
    <chartFormat chart="2" format="21" series="1">
      <pivotArea type="data" outline="0" fieldPosition="0">
        <references count="3">
          <reference field="4294967294" count="1" selected="0">
            <x v="0"/>
          </reference>
          <reference field="0" count="1" selected="0">
            <x v="9"/>
          </reference>
          <reference field="1" count="1" selected="0">
            <x v="1"/>
          </reference>
        </references>
      </pivotArea>
    </chartFormat>
    <chartFormat chart="2" format="22" series="1">
      <pivotArea type="data" outline="0" fieldPosition="0">
        <references count="3">
          <reference field="4294967294" count="1" selected="0">
            <x v="0"/>
          </reference>
          <reference field="0" count="1" selected="0">
            <x v="10"/>
          </reference>
          <reference field="1" count="1" selected="0">
            <x v="1"/>
          </reference>
        </references>
      </pivotArea>
    </chartFormat>
    <chartFormat chart="2" format="23" series="1">
      <pivotArea type="data" outline="0" fieldPosition="0">
        <references count="3">
          <reference field="4294967294" count="1" selected="0">
            <x v="0"/>
          </reference>
          <reference field="0" count="1" selected="0">
            <x v="11"/>
          </reference>
          <reference field="1" count="1" selected="0">
            <x v="1"/>
          </reference>
        </references>
      </pivotArea>
    </chartFormat>
    <chartFormat chart="2" format="24" series="1">
      <pivotArea type="data" outline="0" fieldPosition="0">
        <references count="3">
          <reference field="4294967294" count="1" selected="0">
            <x v="0"/>
          </reference>
          <reference field="0" count="1" selected="0">
            <x v="0"/>
          </reference>
          <reference field="1" count="1" selected="0">
            <x v="2"/>
          </reference>
        </references>
      </pivotArea>
    </chartFormat>
    <chartFormat chart="2" format="25" series="1">
      <pivotArea type="data" outline="0" fieldPosition="0">
        <references count="3">
          <reference field="4294967294" count="1" selected="0">
            <x v="0"/>
          </reference>
          <reference field="0" count="1" selected="0">
            <x v="1"/>
          </reference>
          <reference field="1" count="1" selected="0">
            <x v="2"/>
          </reference>
        </references>
      </pivotArea>
    </chartFormat>
    <chartFormat chart="2" format="26" series="1">
      <pivotArea type="data" outline="0" fieldPosition="0">
        <references count="3">
          <reference field="4294967294" count="1" selected="0">
            <x v="0"/>
          </reference>
          <reference field="0" count="1" selected="0">
            <x v="2"/>
          </reference>
          <reference field="1" count="1" selected="0">
            <x v="2"/>
          </reference>
        </references>
      </pivotArea>
    </chartFormat>
    <chartFormat chart="2" format="27" series="1">
      <pivotArea type="data" outline="0" fieldPosition="0">
        <references count="3">
          <reference field="4294967294" count="1" selected="0">
            <x v="0"/>
          </reference>
          <reference field="0" count="1" selected="0">
            <x v="3"/>
          </reference>
          <reference field="1" count="1" selected="0">
            <x v="2"/>
          </reference>
        </references>
      </pivotArea>
    </chartFormat>
    <chartFormat chart="2" format="28" series="1">
      <pivotArea type="data" outline="0" fieldPosition="0">
        <references count="3">
          <reference field="4294967294" count="1" selected="0">
            <x v="0"/>
          </reference>
          <reference field="0" count="1" selected="0">
            <x v="4"/>
          </reference>
          <reference field="1" count="1" selected="0">
            <x v="2"/>
          </reference>
        </references>
      </pivotArea>
    </chartFormat>
    <chartFormat chart="2" format="29" series="1">
      <pivotArea type="data" outline="0" fieldPosition="0">
        <references count="3">
          <reference field="4294967294" count="1" selected="0">
            <x v="0"/>
          </reference>
          <reference field="0" count="1" selected="0">
            <x v="5"/>
          </reference>
          <reference field="1" count="1" selected="0">
            <x v="2"/>
          </reference>
        </references>
      </pivotArea>
    </chartFormat>
    <chartFormat chart="2" format="30" series="1">
      <pivotArea type="data" outline="0" fieldPosition="0">
        <references count="3">
          <reference field="4294967294" count="1" selected="0">
            <x v="0"/>
          </reference>
          <reference field="0" count="1" selected="0">
            <x v="6"/>
          </reference>
          <reference field="1" count="1" selected="0">
            <x v="2"/>
          </reference>
        </references>
      </pivotArea>
    </chartFormat>
    <chartFormat chart="2" format="31" series="1">
      <pivotArea type="data" outline="0" fieldPosition="0">
        <references count="3">
          <reference field="4294967294" count="1" selected="0">
            <x v="0"/>
          </reference>
          <reference field="0" count="1" selected="0">
            <x v="7"/>
          </reference>
          <reference field="1" count="1" selected="0">
            <x v="2"/>
          </reference>
        </references>
      </pivotArea>
    </chartFormat>
    <chartFormat chart="2" format="32" series="1">
      <pivotArea type="data" outline="0" fieldPosition="0">
        <references count="3">
          <reference field="4294967294" count="1" selected="0">
            <x v="0"/>
          </reference>
          <reference field="0" count="1" selected="0">
            <x v="8"/>
          </reference>
          <reference field="1" count="1" selected="0">
            <x v="2"/>
          </reference>
        </references>
      </pivotArea>
    </chartFormat>
    <chartFormat chart="2" format="33" series="1">
      <pivotArea type="data" outline="0" fieldPosition="0">
        <references count="3">
          <reference field="4294967294" count="1" selected="0">
            <x v="0"/>
          </reference>
          <reference field="0" count="1" selected="0">
            <x v="9"/>
          </reference>
          <reference field="1" count="1" selected="0">
            <x v="2"/>
          </reference>
        </references>
      </pivotArea>
    </chartFormat>
    <chartFormat chart="2" format="34" series="1">
      <pivotArea type="data" outline="0" fieldPosition="0">
        <references count="3">
          <reference field="4294967294" count="1" selected="0">
            <x v="0"/>
          </reference>
          <reference field="0" count="1" selected="0">
            <x v="10"/>
          </reference>
          <reference field="1" count="1" selected="0">
            <x v="2"/>
          </reference>
        </references>
      </pivotArea>
    </chartFormat>
    <chartFormat chart="2" format="35" series="1">
      <pivotArea type="data" outline="0" fieldPosition="0">
        <references count="3">
          <reference field="4294967294" count="1" selected="0">
            <x v="0"/>
          </reference>
          <reference field="0" count="1" selected="0">
            <x v="11"/>
          </reference>
          <reference field="1" count="1" selected="0">
            <x v="2"/>
          </reference>
        </references>
      </pivotArea>
    </chartFormat>
    <chartFormat chart="2" format="36" series="1">
      <pivotArea type="data" outline="0" fieldPosition="0">
        <references count="3">
          <reference field="4294967294" count="1" selected="0">
            <x v="0"/>
          </reference>
          <reference field="0" count="1" selected="0">
            <x v="0"/>
          </reference>
          <reference field="1" count="1" selected="0">
            <x v="3"/>
          </reference>
        </references>
      </pivotArea>
    </chartFormat>
    <chartFormat chart="2" format="37" series="1">
      <pivotArea type="data" outline="0" fieldPosition="0">
        <references count="3">
          <reference field="4294967294" count="1" selected="0">
            <x v="0"/>
          </reference>
          <reference field="0" count="1" selected="0">
            <x v="1"/>
          </reference>
          <reference field="1" count="1" selected="0">
            <x v="3"/>
          </reference>
        </references>
      </pivotArea>
    </chartFormat>
    <chartFormat chart="2" format="38" series="1">
      <pivotArea type="data" outline="0" fieldPosition="0">
        <references count="3">
          <reference field="4294967294" count="1" selected="0">
            <x v="0"/>
          </reference>
          <reference field="0" count="1" selected="0">
            <x v="2"/>
          </reference>
          <reference field="1" count="1" selected="0">
            <x v="3"/>
          </reference>
        </references>
      </pivotArea>
    </chartFormat>
    <chartFormat chart="2" format="39" series="1">
      <pivotArea type="data" outline="0" fieldPosition="0">
        <references count="3">
          <reference field="4294967294" count="1" selected="0">
            <x v="0"/>
          </reference>
          <reference field="0" count="1" selected="0">
            <x v="3"/>
          </reference>
          <reference field="1" count="1" selected="0">
            <x v="3"/>
          </reference>
        </references>
      </pivotArea>
    </chartFormat>
    <chartFormat chart="2" format="40" series="1">
      <pivotArea type="data" outline="0" fieldPosition="0">
        <references count="3">
          <reference field="4294967294" count="1" selected="0">
            <x v="0"/>
          </reference>
          <reference field="0" count="1" selected="0">
            <x v="4"/>
          </reference>
          <reference field="1" count="1" selected="0">
            <x v="3"/>
          </reference>
        </references>
      </pivotArea>
    </chartFormat>
    <chartFormat chart="2" format="41" series="1">
      <pivotArea type="data" outline="0" fieldPosition="0">
        <references count="3">
          <reference field="4294967294" count="1" selected="0">
            <x v="0"/>
          </reference>
          <reference field="0" count="1" selected="0">
            <x v="5"/>
          </reference>
          <reference field="1" count="1" selected="0">
            <x v="3"/>
          </reference>
        </references>
      </pivotArea>
    </chartFormat>
    <chartFormat chart="2" format="42" series="1">
      <pivotArea type="data" outline="0" fieldPosition="0">
        <references count="3">
          <reference field="4294967294" count="1" selected="0">
            <x v="0"/>
          </reference>
          <reference field="0" count="1" selected="0">
            <x v="6"/>
          </reference>
          <reference field="1" count="1" selected="0">
            <x v="3"/>
          </reference>
        </references>
      </pivotArea>
    </chartFormat>
    <chartFormat chart="2" format="43" series="1">
      <pivotArea type="data" outline="0" fieldPosition="0">
        <references count="3">
          <reference field="4294967294" count="1" selected="0">
            <x v="0"/>
          </reference>
          <reference field="0" count="1" selected="0">
            <x v="7"/>
          </reference>
          <reference field="1" count="1" selected="0">
            <x v="3"/>
          </reference>
        </references>
      </pivotArea>
    </chartFormat>
    <chartFormat chart="2" format="44" series="1">
      <pivotArea type="data" outline="0" fieldPosition="0">
        <references count="3">
          <reference field="4294967294" count="1" selected="0">
            <x v="0"/>
          </reference>
          <reference field="0" count="1" selected="0">
            <x v="8"/>
          </reference>
          <reference field="1" count="1" selected="0">
            <x v="3"/>
          </reference>
        </references>
      </pivotArea>
    </chartFormat>
    <chartFormat chart="2" format="45" series="1">
      <pivotArea type="data" outline="0" fieldPosition="0">
        <references count="3">
          <reference field="4294967294" count="1" selected="0">
            <x v="0"/>
          </reference>
          <reference field="0" count="1" selected="0">
            <x v="9"/>
          </reference>
          <reference field="1" count="1" selected="0">
            <x v="3"/>
          </reference>
        </references>
      </pivotArea>
    </chartFormat>
    <chartFormat chart="2" format="46" series="1">
      <pivotArea type="data" outline="0" fieldPosition="0">
        <references count="3">
          <reference field="4294967294" count="1" selected="0">
            <x v="0"/>
          </reference>
          <reference field="0" count="1" selected="0">
            <x v="10"/>
          </reference>
          <reference field="1" count="1" selected="0">
            <x v="3"/>
          </reference>
        </references>
      </pivotArea>
    </chartFormat>
    <chartFormat chart="2" format="47" series="1">
      <pivotArea type="data" outline="0" fieldPosition="0">
        <references count="3">
          <reference field="4294967294" count="1" selected="0">
            <x v="0"/>
          </reference>
          <reference field="0" count="1" selected="0">
            <x v="11"/>
          </reference>
          <reference field="1" count="1" selected="0">
            <x v="3"/>
          </reference>
        </references>
      </pivotArea>
    </chartFormat>
    <chartFormat chart="2" format="48" series="1">
      <pivotArea type="data" outline="0" fieldPosition="0">
        <references count="3">
          <reference field="4294967294" count="1" selected="0">
            <x v="0"/>
          </reference>
          <reference field="0" count="1" selected="0">
            <x v="0"/>
          </reference>
          <reference field="1" count="1" selected="0">
            <x v="4"/>
          </reference>
        </references>
      </pivotArea>
    </chartFormat>
    <chartFormat chart="2" format="49" series="1">
      <pivotArea type="data" outline="0" fieldPosition="0">
        <references count="3">
          <reference field="4294967294" count="1" selected="0">
            <x v="0"/>
          </reference>
          <reference field="0" count="1" selected="0">
            <x v="1"/>
          </reference>
          <reference field="1" count="1" selected="0">
            <x v="4"/>
          </reference>
        </references>
      </pivotArea>
    </chartFormat>
    <chartFormat chart="2" format="50" series="1">
      <pivotArea type="data" outline="0" fieldPosition="0">
        <references count="3">
          <reference field="4294967294" count="1" selected="0">
            <x v="0"/>
          </reference>
          <reference field="0" count="1" selected="0">
            <x v="2"/>
          </reference>
          <reference field="1" count="1" selected="0">
            <x v="4"/>
          </reference>
        </references>
      </pivotArea>
    </chartFormat>
    <chartFormat chart="2" format="51" series="1">
      <pivotArea type="data" outline="0" fieldPosition="0">
        <references count="3">
          <reference field="4294967294" count="1" selected="0">
            <x v="0"/>
          </reference>
          <reference field="0" count="1" selected="0">
            <x v="3"/>
          </reference>
          <reference field="1" count="1" selected="0">
            <x v="4"/>
          </reference>
        </references>
      </pivotArea>
    </chartFormat>
    <chartFormat chart="2" format="52" series="1">
      <pivotArea type="data" outline="0" fieldPosition="0">
        <references count="3">
          <reference field="4294967294" count="1" selected="0">
            <x v="0"/>
          </reference>
          <reference field="0" count="1" selected="0">
            <x v="4"/>
          </reference>
          <reference field="1" count="1" selected="0">
            <x v="4"/>
          </reference>
        </references>
      </pivotArea>
    </chartFormat>
    <chartFormat chart="2" format="53" series="1">
      <pivotArea type="data" outline="0" fieldPosition="0">
        <references count="3">
          <reference field="4294967294" count="1" selected="0">
            <x v="0"/>
          </reference>
          <reference field="0" count="1" selected="0">
            <x v="5"/>
          </reference>
          <reference field="1" count="1" selected="0">
            <x v="4"/>
          </reference>
        </references>
      </pivotArea>
    </chartFormat>
    <chartFormat chart="2" format="54" series="1">
      <pivotArea type="data" outline="0" fieldPosition="0">
        <references count="3">
          <reference field="4294967294" count="1" selected="0">
            <x v="0"/>
          </reference>
          <reference field="0" count="1" selected="0">
            <x v="6"/>
          </reference>
          <reference field="1" count="1" selected="0">
            <x v="4"/>
          </reference>
        </references>
      </pivotArea>
    </chartFormat>
    <chartFormat chart="2" format="55" series="1">
      <pivotArea type="data" outline="0" fieldPosition="0">
        <references count="3">
          <reference field="4294967294" count="1" selected="0">
            <x v="0"/>
          </reference>
          <reference field="0" count="1" selected="0">
            <x v="7"/>
          </reference>
          <reference field="1" count="1" selected="0">
            <x v="4"/>
          </reference>
        </references>
      </pivotArea>
    </chartFormat>
    <chartFormat chart="2" format="56" series="1">
      <pivotArea type="data" outline="0" fieldPosition="0">
        <references count="3">
          <reference field="4294967294" count="1" selected="0">
            <x v="0"/>
          </reference>
          <reference field="0" count="1" selected="0">
            <x v="8"/>
          </reference>
          <reference field="1" count="1" selected="0">
            <x v="4"/>
          </reference>
        </references>
      </pivotArea>
    </chartFormat>
    <chartFormat chart="2" format="57" series="1">
      <pivotArea type="data" outline="0" fieldPosition="0">
        <references count="3">
          <reference field="4294967294" count="1" selected="0">
            <x v="0"/>
          </reference>
          <reference field="0" count="1" selected="0">
            <x v="9"/>
          </reference>
          <reference field="1" count="1" selected="0">
            <x v="4"/>
          </reference>
        </references>
      </pivotArea>
    </chartFormat>
    <chartFormat chart="2" format="58" series="1">
      <pivotArea type="data" outline="0" fieldPosition="0">
        <references count="3">
          <reference field="4294967294" count="1" selected="0">
            <x v="0"/>
          </reference>
          <reference field="0" count="1" selected="0">
            <x v="10"/>
          </reference>
          <reference field="1" count="1" selected="0">
            <x v="4"/>
          </reference>
        </references>
      </pivotArea>
    </chartFormat>
    <chartFormat chart="2" format="59" series="1">
      <pivotArea type="data" outline="0" fieldPosition="0">
        <references count="3">
          <reference field="4294967294" count="1" selected="0">
            <x v="0"/>
          </reference>
          <reference field="0" count="1" selected="0">
            <x v="11"/>
          </reference>
          <reference field="1" count="1" selected="0">
            <x v="4"/>
          </reference>
        </references>
      </pivotArea>
    </chartFormat>
    <chartFormat chart="1" format="5" series="1">
      <pivotArea type="data" outline="0" fieldPosition="0">
        <references count="3">
          <reference field="4294967294" count="1" selected="0">
            <x v="0"/>
          </reference>
          <reference field="0" count="1" selected="0">
            <x v="5"/>
          </reference>
          <reference field="1" count="1" selected="0">
            <x v="0"/>
          </reference>
        </references>
      </pivotArea>
    </chartFormat>
    <chartFormat chart="1" format="6" series="1">
      <pivotArea type="data" outline="0" fieldPosition="0">
        <references count="3">
          <reference field="4294967294" count="1" selected="0">
            <x v="0"/>
          </reference>
          <reference field="0" count="1" selected="0">
            <x v="6"/>
          </reference>
          <reference field="1" count="1" selected="0">
            <x v="0"/>
          </reference>
        </references>
      </pivotArea>
    </chartFormat>
    <chartFormat chart="1" format="7" series="1">
      <pivotArea type="data" outline="0" fieldPosition="0">
        <references count="3">
          <reference field="4294967294" count="1" selected="0">
            <x v="0"/>
          </reference>
          <reference field="0" count="1" selected="0">
            <x v="7"/>
          </reference>
          <reference field="1" count="1" selected="0">
            <x v="0"/>
          </reference>
        </references>
      </pivotArea>
    </chartFormat>
    <chartFormat chart="1" format="8" series="1">
      <pivotArea type="data" outline="0" fieldPosition="0">
        <references count="3">
          <reference field="4294967294" count="1" selected="0">
            <x v="0"/>
          </reference>
          <reference field="0" count="1" selected="0">
            <x v="8"/>
          </reference>
          <reference field="1" count="1" selected="0">
            <x v="0"/>
          </reference>
        </references>
      </pivotArea>
    </chartFormat>
    <chartFormat chart="1" format="9" series="1">
      <pivotArea type="data" outline="0" fieldPosition="0">
        <references count="3">
          <reference field="4294967294" count="1" selected="0">
            <x v="0"/>
          </reference>
          <reference field="0" count="1" selected="0">
            <x v="9"/>
          </reference>
          <reference field="1" count="1" selected="0">
            <x v="0"/>
          </reference>
        </references>
      </pivotArea>
    </chartFormat>
    <chartFormat chart="1" format="10" series="1">
      <pivotArea type="data" outline="0" fieldPosition="0">
        <references count="3">
          <reference field="4294967294" count="1" selected="0">
            <x v="0"/>
          </reference>
          <reference field="0" count="1" selected="0">
            <x v="10"/>
          </reference>
          <reference field="1" count="1" selected="0">
            <x v="0"/>
          </reference>
        </references>
      </pivotArea>
    </chartFormat>
    <chartFormat chart="1" format="11" series="1">
      <pivotArea type="data" outline="0" fieldPosition="0">
        <references count="3">
          <reference field="4294967294" count="1" selected="0">
            <x v="0"/>
          </reference>
          <reference field="0" count="1" selected="0">
            <x v="11"/>
          </reference>
          <reference field="1" count="1" selected="0">
            <x v="0"/>
          </reference>
        </references>
      </pivotArea>
    </chartFormat>
    <chartFormat chart="1" format="12" series="1">
      <pivotArea type="data" outline="0" fieldPosition="0">
        <references count="3">
          <reference field="4294967294" count="1" selected="0">
            <x v="0"/>
          </reference>
          <reference field="0" count="1" selected="0">
            <x v="0"/>
          </reference>
          <reference field="1" count="1" selected="0">
            <x v="1"/>
          </reference>
        </references>
      </pivotArea>
    </chartFormat>
    <chartFormat chart="1" format="13" series="1">
      <pivotArea type="data" outline="0" fieldPosition="0">
        <references count="3">
          <reference field="4294967294" count="1" selected="0">
            <x v="0"/>
          </reference>
          <reference field="0" count="1" selected="0">
            <x v="1"/>
          </reference>
          <reference field="1" count="1" selected="0">
            <x v="1"/>
          </reference>
        </references>
      </pivotArea>
    </chartFormat>
    <chartFormat chart="1" format="14" series="1">
      <pivotArea type="data" outline="0" fieldPosition="0">
        <references count="3">
          <reference field="4294967294" count="1" selected="0">
            <x v="0"/>
          </reference>
          <reference field="0" count="1" selected="0">
            <x v="2"/>
          </reference>
          <reference field="1" count="1" selected="0">
            <x v="1"/>
          </reference>
        </references>
      </pivotArea>
    </chartFormat>
    <chartFormat chart="1" format="15" series="1">
      <pivotArea type="data" outline="0" fieldPosition="0">
        <references count="3">
          <reference field="4294967294" count="1" selected="0">
            <x v="0"/>
          </reference>
          <reference field="0" count="1" selected="0">
            <x v="3"/>
          </reference>
          <reference field="1" count="1" selected="0">
            <x v="1"/>
          </reference>
        </references>
      </pivotArea>
    </chartFormat>
    <chartFormat chart="1" format="16" series="1">
      <pivotArea type="data" outline="0" fieldPosition="0">
        <references count="3">
          <reference field="4294967294" count="1" selected="0">
            <x v="0"/>
          </reference>
          <reference field="0" count="1" selected="0">
            <x v="4"/>
          </reference>
          <reference field="1" count="1" selected="0">
            <x v="1"/>
          </reference>
        </references>
      </pivotArea>
    </chartFormat>
    <chartFormat chart="1" format="17" series="1">
      <pivotArea type="data" outline="0" fieldPosition="0">
        <references count="3">
          <reference field="4294967294" count="1" selected="0">
            <x v="0"/>
          </reference>
          <reference field="0" count="1" selected="0">
            <x v="5"/>
          </reference>
          <reference field="1" count="1" selected="0">
            <x v="1"/>
          </reference>
        </references>
      </pivotArea>
    </chartFormat>
    <chartFormat chart="1" format="18" series="1">
      <pivotArea type="data" outline="0" fieldPosition="0">
        <references count="3">
          <reference field="4294967294" count="1" selected="0">
            <x v="0"/>
          </reference>
          <reference field="0" count="1" selected="0">
            <x v="6"/>
          </reference>
          <reference field="1" count="1" selected="0">
            <x v="1"/>
          </reference>
        </references>
      </pivotArea>
    </chartFormat>
    <chartFormat chart="1" format="19" series="1">
      <pivotArea type="data" outline="0" fieldPosition="0">
        <references count="3">
          <reference field="4294967294" count="1" selected="0">
            <x v="0"/>
          </reference>
          <reference field="0" count="1" selected="0">
            <x v="7"/>
          </reference>
          <reference field="1" count="1" selected="0">
            <x v="1"/>
          </reference>
        </references>
      </pivotArea>
    </chartFormat>
    <chartFormat chart="1" format="20" series="1">
      <pivotArea type="data" outline="0" fieldPosition="0">
        <references count="3">
          <reference field="4294967294" count="1" selected="0">
            <x v="0"/>
          </reference>
          <reference field="0" count="1" selected="0">
            <x v="8"/>
          </reference>
          <reference field="1" count="1" selected="0">
            <x v="1"/>
          </reference>
        </references>
      </pivotArea>
    </chartFormat>
    <chartFormat chart="1" format="21" series="1">
      <pivotArea type="data" outline="0" fieldPosition="0">
        <references count="3">
          <reference field="4294967294" count="1" selected="0">
            <x v="0"/>
          </reference>
          <reference field="0" count="1" selected="0">
            <x v="9"/>
          </reference>
          <reference field="1" count="1" selected="0">
            <x v="1"/>
          </reference>
        </references>
      </pivotArea>
    </chartFormat>
    <chartFormat chart="1" format="22" series="1">
      <pivotArea type="data" outline="0" fieldPosition="0">
        <references count="3">
          <reference field="4294967294" count="1" selected="0">
            <x v="0"/>
          </reference>
          <reference field="0" count="1" selected="0">
            <x v="10"/>
          </reference>
          <reference field="1" count="1" selected="0">
            <x v="1"/>
          </reference>
        </references>
      </pivotArea>
    </chartFormat>
    <chartFormat chart="1" format="23" series="1">
      <pivotArea type="data" outline="0" fieldPosition="0">
        <references count="3">
          <reference field="4294967294" count="1" selected="0">
            <x v="0"/>
          </reference>
          <reference field="0" count="1" selected="0">
            <x v="11"/>
          </reference>
          <reference field="1" count="1" selected="0">
            <x v="1"/>
          </reference>
        </references>
      </pivotArea>
    </chartFormat>
    <chartFormat chart="1" format="24" series="1">
      <pivotArea type="data" outline="0" fieldPosition="0">
        <references count="3">
          <reference field="4294967294" count="1" selected="0">
            <x v="0"/>
          </reference>
          <reference field="0" count="1" selected="0">
            <x v="0"/>
          </reference>
          <reference field="1" count="1" selected="0">
            <x v="2"/>
          </reference>
        </references>
      </pivotArea>
    </chartFormat>
    <chartFormat chart="1" format="25" series="1">
      <pivotArea type="data" outline="0" fieldPosition="0">
        <references count="3">
          <reference field="4294967294" count="1" selected="0">
            <x v="0"/>
          </reference>
          <reference field="0" count="1" selected="0">
            <x v="1"/>
          </reference>
          <reference field="1" count="1" selected="0">
            <x v="2"/>
          </reference>
        </references>
      </pivotArea>
    </chartFormat>
    <chartFormat chart="1" format="26" series="1">
      <pivotArea type="data" outline="0" fieldPosition="0">
        <references count="3">
          <reference field="4294967294" count="1" selected="0">
            <x v="0"/>
          </reference>
          <reference field="0" count="1" selected="0">
            <x v="2"/>
          </reference>
          <reference field="1" count="1" selected="0">
            <x v="2"/>
          </reference>
        </references>
      </pivotArea>
    </chartFormat>
    <chartFormat chart="1" format="27" series="1">
      <pivotArea type="data" outline="0" fieldPosition="0">
        <references count="3">
          <reference field="4294967294" count="1" selected="0">
            <x v="0"/>
          </reference>
          <reference field="0" count="1" selected="0">
            <x v="3"/>
          </reference>
          <reference field="1" count="1" selected="0">
            <x v="2"/>
          </reference>
        </references>
      </pivotArea>
    </chartFormat>
    <chartFormat chart="1" format="28" series="1">
      <pivotArea type="data" outline="0" fieldPosition="0">
        <references count="3">
          <reference field="4294967294" count="1" selected="0">
            <x v="0"/>
          </reference>
          <reference field="0" count="1" selected="0">
            <x v="4"/>
          </reference>
          <reference field="1" count="1" selected="0">
            <x v="2"/>
          </reference>
        </references>
      </pivotArea>
    </chartFormat>
    <chartFormat chart="1" format="29" series="1">
      <pivotArea type="data" outline="0" fieldPosition="0">
        <references count="3">
          <reference field="4294967294" count="1" selected="0">
            <x v="0"/>
          </reference>
          <reference field="0" count="1" selected="0">
            <x v="5"/>
          </reference>
          <reference field="1" count="1" selected="0">
            <x v="2"/>
          </reference>
        </references>
      </pivotArea>
    </chartFormat>
    <chartFormat chart="1" format="30" series="1">
      <pivotArea type="data" outline="0" fieldPosition="0">
        <references count="3">
          <reference field="4294967294" count="1" selected="0">
            <x v="0"/>
          </reference>
          <reference field="0" count="1" selected="0">
            <x v="6"/>
          </reference>
          <reference field="1" count="1" selected="0">
            <x v="2"/>
          </reference>
        </references>
      </pivotArea>
    </chartFormat>
    <chartFormat chart="1" format="31" series="1">
      <pivotArea type="data" outline="0" fieldPosition="0">
        <references count="3">
          <reference field="4294967294" count="1" selected="0">
            <x v="0"/>
          </reference>
          <reference field="0" count="1" selected="0">
            <x v="7"/>
          </reference>
          <reference field="1" count="1" selected="0">
            <x v="2"/>
          </reference>
        </references>
      </pivotArea>
    </chartFormat>
    <chartFormat chart="1" format="32" series="1">
      <pivotArea type="data" outline="0" fieldPosition="0">
        <references count="3">
          <reference field="4294967294" count="1" selected="0">
            <x v="0"/>
          </reference>
          <reference field="0" count="1" selected="0">
            <x v="8"/>
          </reference>
          <reference field="1" count="1" selected="0">
            <x v="2"/>
          </reference>
        </references>
      </pivotArea>
    </chartFormat>
    <chartFormat chart="1" format="33" series="1">
      <pivotArea type="data" outline="0" fieldPosition="0">
        <references count="3">
          <reference field="4294967294" count="1" selected="0">
            <x v="0"/>
          </reference>
          <reference field="0" count="1" selected="0">
            <x v="9"/>
          </reference>
          <reference field="1" count="1" selected="0">
            <x v="2"/>
          </reference>
        </references>
      </pivotArea>
    </chartFormat>
    <chartFormat chart="1" format="34" series="1">
      <pivotArea type="data" outline="0" fieldPosition="0">
        <references count="3">
          <reference field="4294967294" count="1" selected="0">
            <x v="0"/>
          </reference>
          <reference field="0" count="1" selected="0">
            <x v="10"/>
          </reference>
          <reference field="1" count="1" selected="0">
            <x v="2"/>
          </reference>
        </references>
      </pivotArea>
    </chartFormat>
    <chartFormat chart="1" format="35" series="1">
      <pivotArea type="data" outline="0" fieldPosition="0">
        <references count="3">
          <reference field="4294967294" count="1" selected="0">
            <x v="0"/>
          </reference>
          <reference field="0" count="1" selected="0">
            <x v="11"/>
          </reference>
          <reference field="1" count="1" selected="0">
            <x v="2"/>
          </reference>
        </references>
      </pivotArea>
    </chartFormat>
    <chartFormat chart="1" format="36" series="1">
      <pivotArea type="data" outline="0" fieldPosition="0">
        <references count="3">
          <reference field="4294967294" count="1" selected="0">
            <x v="0"/>
          </reference>
          <reference field="0" count="1" selected="0">
            <x v="0"/>
          </reference>
          <reference field="1" count="1" selected="0">
            <x v="3"/>
          </reference>
        </references>
      </pivotArea>
    </chartFormat>
    <chartFormat chart="1" format="37" series="1">
      <pivotArea type="data" outline="0" fieldPosition="0">
        <references count="3">
          <reference field="4294967294" count="1" selected="0">
            <x v="0"/>
          </reference>
          <reference field="0" count="1" selected="0">
            <x v="1"/>
          </reference>
          <reference field="1" count="1" selected="0">
            <x v="3"/>
          </reference>
        </references>
      </pivotArea>
    </chartFormat>
    <chartFormat chart="1" format="38" series="1">
      <pivotArea type="data" outline="0" fieldPosition="0">
        <references count="3">
          <reference field="4294967294" count="1" selected="0">
            <x v="0"/>
          </reference>
          <reference field="0" count="1" selected="0">
            <x v="2"/>
          </reference>
          <reference field="1" count="1" selected="0">
            <x v="3"/>
          </reference>
        </references>
      </pivotArea>
    </chartFormat>
    <chartFormat chart="1" format="39" series="1">
      <pivotArea type="data" outline="0" fieldPosition="0">
        <references count="3">
          <reference field="4294967294" count="1" selected="0">
            <x v="0"/>
          </reference>
          <reference field="0" count="1" selected="0">
            <x v="3"/>
          </reference>
          <reference field="1" count="1" selected="0">
            <x v="3"/>
          </reference>
        </references>
      </pivotArea>
    </chartFormat>
    <chartFormat chart="1" format="40" series="1">
      <pivotArea type="data" outline="0" fieldPosition="0">
        <references count="3">
          <reference field="4294967294" count="1" selected="0">
            <x v="0"/>
          </reference>
          <reference field="0" count="1" selected="0">
            <x v="4"/>
          </reference>
          <reference field="1" count="1" selected="0">
            <x v="3"/>
          </reference>
        </references>
      </pivotArea>
    </chartFormat>
    <chartFormat chart="1" format="41" series="1">
      <pivotArea type="data" outline="0" fieldPosition="0">
        <references count="3">
          <reference field="4294967294" count="1" selected="0">
            <x v="0"/>
          </reference>
          <reference field="0" count="1" selected="0">
            <x v="5"/>
          </reference>
          <reference field="1" count="1" selected="0">
            <x v="3"/>
          </reference>
        </references>
      </pivotArea>
    </chartFormat>
    <chartFormat chart="1" format="42" series="1">
      <pivotArea type="data" outline="0" fieldPosition="0">
        <references count="3">
          <reference field="4294967294" count="1" selected="0">
            <x v="0"/>
          </reference>
          <reference field="0" count="1" selected="0">
            <x v="6"/>
          </reference>
          <reference field="1" count="1" selected="0">
            <x v="3"/>
          </reference>
        </references>
      </pivotArea>
    </chartFormat>
    <chartFormat chart="1" format="43" series="1">
      <pivotArea type="data" outline="0" fieldPosition="0">
        <references count="3">
          <reference field="4294967294" count="1" selected="0">
            <x v="0"/>
          </reference>
          <reference field="0" count="1" selected="0">
            <x v="7"/>
          </reference>
          <reference field="1" count="1" selected="0">
            <x v="3"/>
          </reference>
        </references>
      </pivotArea>
    </chartFormat>
    <chartFormat chart="1" format="44" series="1">
      <pivotArea type="data" outline="0" fieldPosition="0">
        <references count="3">
          <reference field="4294967294" count="1" selected="0">
            <x v="0"/>
          </reference>
          <reference field="0" count="1" selected="0">
            <x v="8"/>
          </reference>
          <reference field="1" count="1" selected="0">
            <x v="3"/>
          </reference>
        </references>
      </pivotArea>
    </chartFormat>
    <chartFormat chart="1" format="45" series="1">
      <pivotArea type="data" outline="0" fieldPosition="0">
        <references count="3">
          <reference field="4294967294" count="1" selected="0">
            <x v="0"/>
          </reference>
          <reference field="0" count="1" selected="0">
            <x v="9"/>
          </reference>
          <reference field="1" count="1" selected="0">
            <x v="3"/>
          </reference>
        </references>
      </pivotArea>
    </chartFormat>
    <chartFormat chart="1" format="46" series="1">
      <pivotArea type="data" outline="0" fieldPosition="0">
        <references count="3">
          <reference field="4294967294" count="1" selected="0">
            <x v="0"/>
          </reference>
          <reference field="0" count="1" selected="0">
            <x v="10"/>
          </reference>
          <reference field="1" count="1" selected="0">
            <x v="3"/>
          </reference>
        </references>
      </pivotArea>
    </chartFormat>
    <chartFormat chart="1" format="47" series="1">
      <pivotArea type="data" outline="0" fieldPosition="0">
        <references count="3">
          <reference field="4294967294" count="1" selected="0">
            <x v="0"/>
          </reference>
          <reference field="0" count="1" selected="0">
            <x v="11"/>
          </reference>
          <reference field="1" count="1" selected="0">
            <x v="3"/>
          </reference>
        </references>
      </pivotArea>
    </chartFormat>
    <chartFormat chart="1" format="48" series="1">
      <pivotArea type="data" outline="0" fieldPosition="0">
        <references count="3">
          <reference field="4294967294" count="1" selected="0">
            <x v="0"/>
          </reference>
          <reference field="0" count="1" selected="0">
            <x v="0"/>
          </reference>
          <reference field="1" count="1" selected="0">
            <x v="4"/>
          </reference>
        </references>
      </pivotArea>
    </chartFormat>
    <chartFormat chart="1" format="49" series="1">
      <pivotArea type="data" outline="0" fieldPosition="0">
        <references count="3">
          <reference field="4294967294" count="1" selected="0">
            <x v="0"/>
          </reference>
          <reference field="0" count="1" selected="0">
            <x v="1"/>
          </reference>
          <reference field="1" count="1" selected="0">
            <x v="4"/>
          </reference>
        </references>
      </pivotArea>
    </chartFormat>
    <chartFormat chart="1" format="50" series="1">
      <pivotArea type="data" outline="0" fieldPosition="0">
        <references count="3">
          <reference field="4294967294" count="1" selected="0">
            <x v="0"/>
          </reference>
          <reference field="0" count="1" selected="0">
            <x v="2"/>
          </reference>
          <reference field="1" count="1" selected="0">
            <x v="4"/>
          </reference>
        </references>
      </pivotArea>
    </chartFormat>
    <chartFormat chart="1" format="51" series="1">
      <pivotArea type="data" outline="0" fieldPosition="0">
        <references count="3">
          <reference field="4294967294" count="1" selected="0">
            <x v="0"/>
          </reference>
          <reference field="0" count="1" selected="0">
            <x v="3"/>
          </reference>
          <reference field="1" count="1" selected="0">
            <x v="4"/>
          </reference>
        </references>
      </pivotArea>
    </chartFormat>
    <chartFormat chart="1" format="52" series="1">
      <pivotArea type="data" outline="0" fieldPosition="0">
        <references count="3">
          <reference field="4294967294" count="1" selected="0">
            <x v="0"/>
          </reference>
          <reference field="0" count="1" selected="0">
            <x v="4"/>
          </reference>
          <reference field="1" count="1" selected="0">
            <x v="4"/>
          </reference>
        </references>
      </pivotArea>
    </chartFormat>
    <chartFormat chart="1" format="53" series="1">
      <pivotArea type="data" outline="0" fieldPosition="0">
        <references count="3">
          <reference field="4294967294" count="1" selected="0">
            <x v="0"/>
          </reference>
          <reference field="0" count="1" selected="0">
            <x v="5"/>
          </reference>
          <reference field="1" count="1" selected="0">
            <x v="4"/>
          </reference>
        </references>
      </pivotArea>
    </chartFormat>
    <chartFormat chart="1" format="54" series="1">
      <pivotArea type="data" outline="0" fieldPosition="0">
        <references count="3">
          <reference field="4294967294" count="1" selected="0">
            <x v="0"/>
          </reference>
          <reference field="0" count="1" selected="0">
            <x v="6"/>
          </reference>
          <reference field="1" count="1" selected="0">
            <x v="4"/>
          </reference>
        </references>
      </pivotArea>
    </chartFormat>
    <chartFormat chart="1" format="55" series="1">
      <pivotArea type="data" outline="0" fieldPosition="0">
        <references count="3">
          <reference field="4294967294" count="1" selected="0">
            <x v="0"/>
          </reference>
          <reference field="0" count="1" selected="0">
            <x v="7"/>
          </reference>
          <reference field="1" count="1" selected="0">
            <x v="4"/>
          </reference>
        </references>
      </pivotArea>
    </chartFormat>
    <chartFormat chart="1" format="56" series="1">
      <pivotArea type="data" outline="0" fieldPosition="0">
        <references count="3">
          <reference field="4294967294" count="1" selected="0">
            <x v="0"/>
          </reference>
          <reference field="0" count="1" selected="0">
            <x v="8"/>
          </reference>
          <reference field="1" count="1" selected="0">
            <x v="4"/>
          </reference>
        </references>
      </pivotArea>
    </chartFormat>
    <chartFormat chart="1" format="57" series="1">
      <pivotArea type="data" outline="0" fieldPosition="0">
        <references count="3">
          <reference field="4294967294" count="1" selected="0">
            <x v="0"/>
          </reference>
          <reference field="0" count="1" selected="0">
            <x v="9"/>
          </reference>
          <reference field="1" count="1" selected="0">
            <x v="4"/>
          </reference>
        </references>
      </pivotArea>
    </chartFormat>
    <chartFormat chart="1" format="58" series="1">
      <pivotArea type="data" outline="0" fieldPosition="0">
        <references count="3">
          <reference field="4294967294" count="1" selected="0">
            <x v="0"/>
          </reference>
          <reference field="0" count="1" selected="0">
            <x v="10"/>
          </reference>
          <reference field="1" count="1" selected="0">
            <x v="4"/>
          </reference>
        </references>
      </pivotArea>
    </chartFormat>
    <chartFormat chart="1" format="59" series="1">
      <pivotArea type="data" outline="0" fieldPosition="0">
        <references count="3">
          <reference field="4294967294" count="1" selected="0">
            <x v="0"/>
          </reference>
          <reference field="0" count="1" selected="0">
            <x v="11"/>
          </reference>
          <reference field="1" count="1" selected="0">
            <x v="4"/>
          </reference>
        </references>
      </pivotArea>
    </chartFormat>
    <chartFormat chart="0" format="5" series="1">
      <pivotArea type="data" outline="0" fieldPosition="0">
        <references count="3">
          <reference field="4294967294" count="1" selected="0">
            <x v="0"/>
          </reference>
          <reference field="0" count="1" selected="0">
            <x v="5"/>
          </reference>
          <reference field="1" count="1" selected="0">
            <x v="0"/>
          </reference>
        </references>
      </pivotArea>
    </chartFormat>
    <chartFormat chart="0" format="6" series="1">
      <pivotArea type="data" outline="0" fieldPosition="0">
        <references count="3">
          <reference field="4294967294" count="1" selected="0">
            <x v="0"/>
          </reference>
          <reference field="0" count="1" selected="0">
            <x v="6"/>
          </reference>
          <reference field="1" count="1" selected="0">
            <x v="0"/>
          </reference>
        </references>
      </pivotArea>
    </chartFormat>
    <chartFormat chart="0" format="7" series="1">
      <pivotArea type="data" outline="0" fieldPosition="0">
        <references count="3">
          <reference field="4294967294" count="1" selected="0">
            <x v="0"/>
          </reference>
          <reference field="0" count="1" selected="0">
            <x v="7"/>
          </reference>
          <reference field="1" count="1" selected="0">
            <x v="0"/>
          </reference>
        </references>
      </pivotArea>
    </chartFormat>
    <chartFormat chart="0" format="8" series="1">
      <pivotArea type="data" outline="0" fieldPosition="0">
        <references count="3">
          <reference field="4294967294" count="1" selected="0">
            <x v="0"/>
          </reference>
          <reference field="0" count="1" selected="0">
            <x v="8"/>
          </reference>
          <reference field="1" count="1" selected="0">
            <x v="0"/>
          </reference>
        </references>
      </pivotArea>
    </chartFormat>
    <chartFormat chart="0" format="9" series="1">
      <pivotArea type="data" outline="0" fieldPosition="0">
        <references count="3">
          <reference field="4294967294" count="1" selected="0">
            <x v="0"/>
          </reference>
          <reference field="0" count="1" selected="0">
            <x v="9"/>
          </reference>
          <reference field="1" count="1" selected="0">
            <x v="0"/>
          </reference>
        </references>
      </pivotArea>
    </chartFormat>
    <chartFormat chart="0" format="10" series="1">
      <pivotArea type="data" outline="0" fieldPosition="0">
        <references count="3">
          <reference field="4294967294" count="1" selected="0">
            <x v="0"/>
          </reference>
          <reference field="0" count="1" selected="0">
            <x v="10"/>
          </reference>
          <reference field="1" count="1" selected="0">
            <x v="0"/>
          </reference>
        </references>
      </pivotArea>
    </chartFormat>
    <chartFormat chart="0" format="11" series="1">
      <pivotArea type="data" outline="0" fieldPosition="0">
        <references count="3">
          <reference field="4294967294" count="1" selected="0">
            <x v="0"/>
          </reference>
          <reference field="0" count="1" selected="0">
            <x v="11"/>
          </reference>
          <reference field="1" count="1" selected="0">
            <x v="0"/>
          </reference>
        </references>
      </pivotArea>
    </chartFormat>
    <chartFormat chart="0" format="12" series="1">
      <pivotArea type="data" outline="0" fieldPosition="0">
        <references count="3">
          <reference field="4294967294" count="1" selected="0">
            <x v="0"/>
          </reference>
          <reference field="0" count="1" selected="0">
            <x v="0"/>
          </reference>
          <reference field="1" count="1" selected="0">
            <x v="1"/>
          </reference>
        </references>
      </pivotArea>
    </chartFormat>
    <chartFormat chart="0" format="13" series="1">
      <pivotArea type="data" outline="0" fieldPosition="0">
        <references count="3">
          <reference field="4294967294" count="1" selected="0">
            <x v="0"/>
          </reference>
          <reference field="0" count="1" selected="0">
            <x v="1"/>
          </reference>
          <reference field="1" count="1" selected="0">
            <x v="1"/>
          </reference>
        </references>
      </pivotArea>
    </chartFormat>
    <chartFormat chart="0" format="14" series="1">
      <pivotArea type="data" outline="0" fieldPosition="0">
        <references count="3">
          <reference field="4294967294" count="1" selected="0">
            <x v="0"/>
          </reference>
          <reference field="0" count="1" selected="0">
            <x v="2"/>
          </reference>
          <reference field="1" count="1" selected="0">
            <x v="1"/>
          </reference>
        </references>
      </pivotArea>
    </chartFormat>
    <chartFormat chart="0" format="15" series="1">
      <pivotArea type="data" outline="0" fieldPosition="0">
        <references count="3">
          <reference field="4294967294" count="1" selected="0">
            <x v="0"/>
          </reference>
          <reference field="0" count="1" selected="0">
            <x v="3"/>
          </reference>
          <reference field="1" count="1" selected="0">
            <x v="1"/>
          </reference>
        </references>
      </pivotArea>
    </chartFormat>
    <chartFormat chart="0" format="16" series="1">
      <pivotArea type="data" outline="0" fieldPosition="0">
        <references count="3">
          <reference field="4294967294" count="1" selected="0">
            <x v="0"/>
          </reference>
          <reference field="0" count="1" selected="0">
            <x v="4"/>
          </reference>
          <reference field="1" count="1" selected="0">
            <x v="1"/>
          </reference>
        </references>
      </pivotArea>
    </chartFormat>
    <chartFormat chart="0" format="17" series="1">
      <pivotArea type="data" outline="0" fieldPosition="0">
        <references count="3">
          <reference field="4294967294" count="1" selected="0">
            <x v="0"/>
          </reference>
          <reference field="0" count="1" selected="0">
            <x v="5"/>
          </reference>
          <reference field="1" count="1" selected="0">
            <x v="1"/>
          </reference>
        </references>
      </pivotArea>
    </chartFormat>
    <chartFormat chart="0" format="18" series="1">
      <pivotArea type="data" outline="0" fieldPosition="0">
        <references count="3">
          <reference field="4294967294" count="1" selected="0">
            <x v="0"/>
          </reference>
          <reference field="0" count="1" selected="0">
            <x v="6"/>
          </reference>
          <reference field="1" count="1" selected="0">
            <x v="1"/>
          </reference>
        </references>
      </pivotArea>
    </chartFormat>
    <chartFormat chart="0" format="19" series="1">
      <pivotArea type="data" outline="0" fieldPosition="0">
        <references count="3">
          <reference field="4294967294" count="1" selected="0">
            <x v="0"/>
          </reference>
          <reference field="0" count="1" selected="0">
            <x v="7"/>
          </reference>
          <reference field="1" count="1" selected="0">
            <x v="1"/>
          </reference>
        </references>
      </pivotArea>
    </chartFormat>
    <chartFormat chart="0" format="20" series="1">
      <pivotArea type="data" outline="0" fieldPosition="0">
        <references count="3">
          <reference field="4294967294" count="1" selected="0">
            <x v="0"/>
          </reference>
          <reference field="0" count="1" selected="0">
            <x v="8"/>
          </reference>
          <reference field="1" count="1" selected="0">
            <x v="1"/>
          </reference>
        </references>
      </pivotArea>
    </chartFormat>
    <chartFormat chart="0" format="21" series="1">
      <pivotArea type="data" outline="0" fieldPosition="0">
        <references count="3">
          <reference field="4294967294" count="1" selected="0">
            <x v="0"/>
          </reference>
          <reference field="0" count="1" selected="0">
            <x v="9"/>
          </reference>
          <reference field="1" count="1" selected="0">
            <x v="1"/>
          </reference>
        </references>
      </pivotArea>
    </chartFormat>
    <chartFormat chart="0" format="22" series="1">
      <pivotArea type="data" outline="0" fieldPosition="0">
        <references count="3">
          <reference field="4294967294" count="1" selected="0">
            <x v="0"/>
          </reference>
          <reference field="0" count="1" selected="0">
            <x v="10"/>
          </reference>
          <reference field="1" count="1" selected="0">
            <x v="1"/>
          </reference>
        </references>
      </pivotArea>
    </chartFormat>
    <chartFormat chart="0" format="23" series="1">
      <pivotArea type="data" outline="0" fieldPosition="0">
        <references count="3">
          <reference field="4294967294" count="1" selected="0">
            <x v="0"/>
          </reference>
          <reference field="0" count="1" selected="0">
            <x v="11"/>
          </reference>
          <reference field="1" count="1" selected="0">
            <x v="1"/>
          </reference>
        </references>
      </pivotArea>
    </chartFormat>
    <chartFormat chart="0" format="24" series="1">
      <pivotArea type="data" outline="0" fieldPosition="0">
        <references count="3">
          <reference field="4294967294" count="1" selected="0">
            <x v="0"/>
          </reference>
          <reference field="0" count="1" selected="0">
            <x v="0"/>
          </reference>
          <reference field="1" count="1" selected="0">
            <x v="2"/>
          </reference>
        </references>
      </pivotArea>
    </chartFormat>
    <chartFormat chart="0" format="25" series="1">
      <pivotArea type="data" outline="0" fieldPosition="0">
        <references count="3">
          <reference field="4294967294" count="1" selected="0">
            <x v="0"/>
          </reference>
          <reference field="0" count="1" selected="0">
            <x v="1"/>
          </reference>
          <reference field="1" count="1" selected="0">
            <x v="2"/>
          </reference>
        </references>
      </pivotArea>
    </chartFormat>
    <chartFormat chart="0" format="26" series="1">
      <pivotArea type="data" outline="0" fieldPosition="0">
        <references count="3">
          <reference field="4294967294" count="1" selected="0">
            <x v="0"/>
          </reference>
          <reference field="0" count="1" selected="0">
            <x v="2"/>
          </reference>
          <reference field="1" count="1" selected="0">
            <x v="2"/>
          </reference>
        </references>
      </pivotArea>
    </chartFormat>
    <chartFormat chart="0" format="27" series="1">
      <pivotArea type="data" outline="0" fieldPosition="0">
        <references count="3">
          <reference field="4294967294" count="1" selected="0">
            <x v="0"/>
          </reference>
          <reference field="0" count="1" selected="0">
            <x v="3"/>
          </reference>
          <reference field="1" count="1" selected="0">
            <x v="2"/>
          </reference>
        </references>
      </pivotArea>
    </chartFormat>
    <chartFormat chart="0" format="28" series="1">
      <pivotArea type="data" outline="0" fieldPosition="0">
        <references count="3">
          <reference field="4294967294" count="1" selected="0">
            <x v="0"/>
          </reference>
          <reference field="0" count="1" selected="0">
            <x v="4"/>
          </reference>
          <reference field="1" count="1" selected="0">
            <x v="2"/>
          </reference>
        </references>
      </pivotArea>
    </chartFormat>
    <chartFormat chart="0" format="29" series="1">
      <pivotArea type="data" outline="0" fieldPosition="0">
        <references count="3">
          <reference field="4294967294" count="1" selected="0">
            <x v="0"/>
          </reference>
          <reference field="0" count="1" selected="0">
            <x v="5"/>
          </reference>
          <reference field="1" count="1" selected="0">
            <x v="2"/>
          </reference>
        </references>
      </pivotArea>
    </chartFormat>
    <chartFormat chart="0" format="30" series="1">
      <pivotArea type="data" outline="0" fieldPosition="0">
        <references count="3">
          <reference field="4294967294" count="1" selected="0">
            <x v="0"/>
          </reference>
          <reference field="0" count="1" selected="0">
            <x v="6"/>
          </reference>
          <reference field="1" count="1" selected="0">
            <x v="2"/>
          </reference>
        </references>
      </pivotArea>
    </chartFormat>
    <chartFormat chart="0" format="31" series="1">
      <pivotArea type="data" outline="0" fieldPosition="0">
        <references count="3">
          <reference field="4294967294" count="1" selected="0">
            <x v="0"/>
          </reference>
          <reference field="0" count="1" selected="0">
            <x v="7"/>
          </reference>
          <reference field="1" count="1" selected="0">
            <x v="2"/>
          </reference>
        </references>
      </pivotArea>
    </chartFormat>
    <chartFormat chart="0" format="32" series="1">
      <pivotArea type="data" outline="0" fieldPosition="0">
        <references count="3">
          <reference field="4294967294" count="1" selected="0">
            <x v="0"/>
          </reference>
          <reference field="0" count="1" selected="0">
            <x v="8"/>
          </reference>
          <reference field="1" count="1" selected="0">
            <x v="2"/>
          </reference>
        </references>
      </pivotArea>
    </chartFormat>
    <chartFormat chart="0" format="33" series="1">
      <pivotArea type="data" outline="0" fieldPosition="0">
        <references count="3">
          <reference field="4294967294" count="1" selected="0">
            <x v="0"/>
          </reference>
          <reference field="0" count="1" selected="0">
            <x v="9"/>
          </reference>
          <reference field="1" count="1" selected="0">
            <x v="2"/>
          </reference>
        </references>
      </pivotArea>
    </chartFormat>
    <chartFormat chart="0" format="34" series="1">
      <pivotArea type="data" outline="0" fieldPosition="0">
        <references count="3">
          <reference field="4294967294" count="1" selected="0">
            <x v="0"/>
          </reference>
          <reference field="0" count="1" selected="0">
            <x v="10"/>
          </reference>
          <reference field="1" count="1" selected="0">
            <x v="2"/>
          </reference>
        </references>
      </pivotArea>
    </chartFormat>
    <chartFormat chart="0" format="35" series="1">
      <pivotArea type="data" outline="0" fieldPosition="0">
        <references count="3">
          <reference field="4294967294" count="1" selected="0">
            <x v="0"/>
          </reference>
          <reference field="0" count="1" selected="0">
            <x v="11"/>
          </reference>
          <reference field="1" count="1" selected="0">
            <x v="2"/>
          </reference>
        </references>
      </pivotArea>
    </chartFormat>
    <chartFormat chart="0" format="36" series="1">
      <pivotArea type="data" outline="0" fieldPosition="0">
        <references count="3">
          <reference field="4294967294" count="1" selected="0">
            <x v="0"/>
          </reference>
          <reference field="0" count="1" selected="0">
            <x v="0"/>
          </reference>
          <reference field="1" count="1" selected="0">
            <x v="3"/>
          </reference>
        </references>
      </pivotArea>
    </chartFormat>
    <chartFormat chart="0" format="37" series="1">
      <pivotArea type="data" outline="0" fieldPosition="0">
        <references count="3">
          <reference field="4294967294" count="1" selected="0">
            <x v="0"/>
          </reference>
          <reference field="0" count="1" selected="0">
            <x v="1"/>
          </reference>
          <reference field="1" count="1" selected="0">
            <x v="3"/>
          </reference>
        </references>
      </pivotArea>
    </chartFormat>
    <chartFormat chart="0" format="38" series="1">
      <pivotArea type="data" outline="0" fieldPosition="0">
        <references count="3">
          <reference field="4294967294" count="1" selected="0">
            <x v="0"/>
          </reference>
          <reference field="0" count="1" selected="0">
            <x v="2"/>
          </reference>
          <reference field="1" count="1" selected="0">
            <x v="3"/>
          </reference>
        </references>
      </pivotArea>
    </chartFormat>
    <chartFormat chart="0" format="39" series="1">
      <pivotArea type="data" outline="0" fieldPosition="0">
        <references count="3">
          <reference field="4294967294" count="1" selected="0">
            <x v="0"/>
          </reference>
          <reference field="0" count="1" selected="0">
            <x v="3"/>
          </reference>
          <reference field="1" count="1" selected="0">
            <x v="3"/>
          </reference>
        </references>
      </pivotArea>
    </chartFormat>
    <chartFormat chart="0" format="40" series="1">
      <pivotArea type="data" outline="0" fieldPosition="0">
        <references count="3">
          <reference field="4294967294" count="1" selected="0">
            <x v="0"/>
          </reference>
          <reference field="0" count="1" selected="0">
            <x v="4"/>
          </reference>
          <reference field="1" count="1" selected="0">
            <x v="3"/>
          </reference>
        </references>
      </pivotArea>
    </chartFormat>
    <chartFormat chart="0" format="41" series="1">
      <pivotArea type="data" outline="0" fieldPosition="0">
        <references count="3">
          <reference field="4294967294" count="1" selected="0">
            <x v="0"/>
          </reference>
          <reference field="0" count="1" selected="0">
            <x v="5"/>
          </reference>
          <reference field="1" count="1" selected="0">
            <x v="3"/>
          </reference>
        </references>
      </pivotArea>
    </chartFormat>
    <chartFormat chart="0" format="42" series="1">
      <pivotArea type="data" outline="0" fieldPosition="0">
        <references count="3">
          <reference field="4294967294" count="1" selected="0">
            <x v="0"/>
          </reference>
          <reference field="0" count="1" selected="0">
            <x v="6"/>
          </reference>
          <reference field="1" count="1" selected="0">
            <x v="3"/>
          </reference>
        </references>
      </pivotArea>
    </chartFormat>
    <chartFormat chart="0" format="43" series="1">
      <pivotArea type="data" outline="0" fieldPosition="0">
        <references count="3">
          <reference field="4294967294" count="1" selected="0">
            <x v="0"/>
          </reference>
          <reference field="0" count="1" selected="0">
            <x v="7"/>
          </reference>
          <reference field="1" count="1" selected="0">
            <x v="3"/>
          </reference>
        </references>
      </pivotArea>
    </chartFormat>
    <chartFormat chart="0" format="44" series="1">
      <pivotArea type="data" outline="0" fieldPosition="0">
        <references count="3">
          <reference field="4294967294" count="1" selected="0">
            <x v="0"/>
          </reference>
          <reference field="0" count="1" selected="0">
            <x v="8"/>
          </reference>
          <reference field="1" count="1" selected="0">
            <x v="3"/>
          </reference>
        </references>
      </pivotArea>
    </chartFormat>
    <chartFormat chart="0" format="45" series="1">
      <pivotArea type="data" outline="0" fieldPosition="0">
        <references count="3">
          <reference field="4294967294" count="1" selected="0">
            <x v="0"/>
          </reference>
          <reference field="0" count="1" selected="0">
            <x v="9"/>
          </reference>
          <reference field="1" count="1" selected="0">
            <x v="3"/>
          </reference>
        </references>
      </pivotArea>
    </chartFormat>
    <chartFormat chart="0" format="46" series="1">
      <pivotArea type="data" outline="0" fieldPosition="0">
        <references count="3">
          <reference field="4294967294" count="1" selected="0">
            <x v="0"/>
          </reference>
          <reference field="0" count="1" selected="0">
            <x v="10"/>
          </reference>
          <reference field="1" count="1" selected="0">
            <x v="3"/>
          </reference>
        </references>
      </pivotArea>
    </chartFormat>
    <chartFormat chart="0" format="47" series="1">
      <pivotArea type="data" outline="0" fieldPosition="0">
        <references count="3">
          <reference field="4294967294" count="1" selected="0">
            <x v="0"/>
          </reference>
          <reference field="0" count="1" selected="0">
            <x v="11"/>
          </reference>
          <reference field="1" count="1" selected="0">
            <x v="3"/>
          </reference>
        </references>
      </pivotArea>
    </chartFormat>
    <chartFormat chart="0" format="48" series="1">
      <pivotArea type="data" outline="0" fieldPosition="0">
        <references count="3">
          <reference field="4294967294" count="1" selected="0">
            <x v="0"/>
          </reference>
          <reference field="0" count="1" selected="0">
            <x v="0"/>
          </reference>
          <reference field="1" count="1" selected="0">
            <x v="4"/>
          </reference>
        </references>
      </pivotArea>
    </chartFormat>
    <chartFormat chart="0" format="49" series="1">
      <pivotArea type="data" outline="0" fieldPosition="0">
        <references count="3">
          <reference field="4294967294" count="1" selected="0">
            <x v="0"/>
          </reference>
          <reference field="0" count="1" selected="0">
            <x v="1"/>
          </reference>
          <reference field="1" count="1" selected="0">
            <x v="4"/>
          </reference>
        </references>
      </pivotArea>
    </chartFormat>
    <chartFormat chart="0" format="50" series="1">
      <pivotArea type="data" outline="0" fieldPosition="0">
        <references count="3">
          <reference field="4294967294" count="1" selected="0">
            <x v="0"/>
          </reference>
          <reference field="0" count="1" selected="0">
            <x v="2"/>
          </reference>
          <reference field="1" count="1" selected="0">
            <x v="4"/>
          </reference>
        </references>
      </pivotArea>
    </chartFormat>
    <chartFormat chart="0" format="51" series="1">
      <pivotArea type="data" outline="0" fieldPosition="0">
        <references count="3">
          <reference field="4294967294" count="1" selected="0">
            <x v="0"/>
          </reference>
          <reference field="0" count="1" selected="0">
            <x v="3"/>
          </reference>
          <reference field="1" count="1" selected="0">
            <x v="4"/>
          </reference>
        </references>
      </pivotArea>
    </chartFormat>
    <chartFormat chart="0" format="52" series="1">
      <pivotArea type="data" outline="0" fieldPosition="0">
        <references count="3">
          <reference field="4294967294" count="1" selected="0">
            <x v="0"/>
          </reference>
          <reference field="0" count="1" selected="0">
            <x v="4"/>
          </reference>
          <reference field="1" count="1" selected="0">
            <x v="4"/>
          </reference>
        </references>
      </pivotArea>
    </chartFormat>
    <chartFormat chart="0" format="53" series="1">
      <pivotArea type="data" outline="0" fieldPosition="0">
        <references count="3">
          <reference field="4294967294" count="1" selected="0">
            <x v="0"/>
          </reference>
          <reference field="0" count="1" selected="0">
            <x v="5"/>
          </reference>
          <reference field="1" count="1" selected="0">
            <x v="4"/>
          </reference>
        </references>
      </pivotArea>
    </chartFormat>
    <chartFormat chart="0" format="54" series="1">
      <pivotArea type="data" outline="0" fieldPosition="0">
        <references count="3">
          <reference field="4294967294" count="1" selected="0">
            <x v="0"/>
          </reference>
          <reference field="0" count="1" selected="0">
            <x v="6"/>
          </reference>
          <reference field="1" count="1" selected="0">
            <x v="4"/>
          </reference>
        </references>
      </pivotArea>
    </chartFormat>
    <chartFormat chart="0" format="55" series="1">
      <pivotArea type="data" outline="0" fieldPosition="0">
        <references count="3">
          <reference field="4294967294" count="1" selected="0">
            <x v="0"/>
          </reference>
          <reference field="0" count="1" selected="0">
            <x v="7"/>
          </reference>
          <reference field="1" count="1" selected="0">
            <x v="4"/>
          </reference>
        </references>
      </pivotArea>
    </chartFormat>
    <chartFormat chart="0" format="56" series="1">
      <pivotArea type="data" outline="0" fieldPosition="0">
        <references count="3">
          <reference field="4294967294" count="1" selected="0">
            <x v="0"/>
          </reference>
          <reference field="0" count="1" selected="0">
            <x v="8"/>
          </reference>
          <reference field="1" count="1" selected="0">
            <x v="4"/>
          </reference>
        </references>
      </pivotArea>
    </chartFormat>
    <chartFormat chart="0" format="57" series="1">
      <pivotArea type="data" outline="0" fieldPosition="0">
        <references count="3">
          <reference field="4294967294" count="1" selected="0">
            <x v="0"/>
          </reference>
          <reference field="0" count="1" selected="0">
            <x v="9"/>
          </reference>
          <reference field="1" count="1" selected="0">
            <x v="4"/>
          </reference>
        </references>
      </pivotArea>
    </chartFormat>
    <chartFormat chart="0" format="58" series="1">
      <pivotArea type="data" outline="0" fieldPosition="0">
        <references count="3">
          <reference field="4294967294" count="1" selected="0">
            <x v="0"/>
          </reference>
          <reference field="0" count="1" selected="0">
            <x v="10"/>
          </reference>
          <reference field="1" count="1" selected="0">
            <x v="4"/>
          </reference>
        </references>
      </pivotArea>
    </chartFormat>
    <chartFormat chart="0" format="59" series="1">
      <pivotArea type="data" outline="0" fieldPosition="0">
        <references count="3">
          <reference field="4294967294" count="1" selected="0">
            <x v="0"/>
          </reference>
          <reference field="0" count="1" selected="0">
            <x v="11"/>
          </reference>
          <reference field="1" count="1" selected="0">
            <x v="4"/>
          </reference>
        </references>
      </pivotArea>
    </chartFormat>
    <chartFormat chart="2" format="60" series="1">
      <pivotArea type="data" outline="0" fieldPosition="0">
        <references count="2">
          <reference field="4294967294" count="1" selected="0">
            <x v="0"/>
          </reference>
          <reference field="0" count="1" selected="0">
            <x v="0"/>
          </reference>
        </references>
      </pivotArea>
    </chartFormat>
    <chartFormat chart="2" format="61" series="1">
      <pivotArea type="data" outline="0" fieldPosition="0">
        <references count="2">
          <reference field="4294967294" count="1" selected="0">
            <x v="0"/>
          </reference>
          <reference field="0" count="1" selected="0">
            <x v="1"/>
          </reference>
        </references>
      </pivotArea>
    </chartFormat>
    <chartFormat chart="2" format="62" series="1">
      <pivotArea type="data" outline="0" fieldPosition="0">
        <references count="2">
          <reference field="4294967294" count="1" selected="0">
            <x v="0"/>
          </reference>
          <reference field="0" count="1" selected="0">
            <x v="2"/>
          </reference>
        </references>
      </pivotArea>
    </chartFormat>
    <chartFormat chart="2" format="63" series="1">
      <pivotArea type="data" outline="0" fieldPosition="0">
        <references count="2">
          <reference field="4294967294" count="1" selected="0">
            <x v="0"/>
          </reference>
          <reference field="0" count="1" selected="0">
            <x v="3"/>
          </reference>
        </references>
      </pivotArea>
    </chartFormat>
    <chartFormat chart="2" format="64" series="1">
      <pivotArea type="data" outline="0" fieldPosition="0">
        <references count="2">
          <reference field="4294967294" count="1" selected="0">
            <x v="0"/>
          </reference>
          <reference field="0" count="1" selected="0">
            <x v="4"/>
          </reference>
        </references>
      </pivotArea>
    </chartFormat>
    <chartFormat chart="2" format="65" series="1">
      <pivotArea type="data" outline="0" fieldPosition="0">
        <references count="2">
          <reference field="4294967294" count="1" selected="0">
            <x v="0"/>
          </reference>
          <reference field="0" count="1" selected="0">
            <x v="5"/>
          </reference>
        </references>
      </pivotArea>
    </chartFormat>
    <chartFormat chart="2" format="66" series="1">
      <pivotArea type="data" outline="0" fieldPosition="0">
        <references count="2">
          <reference field="4294967294" count="1" selected="0">
            <x v="0"/>
          </reference>
          <reference field="0" count="1" selected="0">
            <x v="6"/>
          </reference>
        </references>
      </pivotArea>
    </chartFormat>
    <chartFormat chart="2" format="67" series="1">
      <pivotArea type="data" outline="0" fieldPosition="0">
        <references count="2">
          <reference field="4294967294" count="1" selected="0">
            <x v="0"/>
          </reference>
          <reference field="0" count="1" selected="0">
            <x v="7"/>
          </reference>
        </references>
      </pivotArea>
    </chartFormat>
    <chartFormat chart="2" format="68" series="1">
      <pivotArea type="data" outline="0" fieldPosition="0">
        <references count="2">
          <reference field="4294967294" count="1" selected="0">
            <x v="0"/>
          </reference>
          <reference field="0" count="1" selected="0">
            <x v="8"/>
          </reference>
        </references>
      </pivotArea>
    </chartFormat>
    <chartFormat chart="2" format="69" series="1">
      <pivotArea type="data" outline="0" fieldPosition="0">
        <references count="2">
          <reference field="4294967294" count="1" selected="0">
            <x v="0"/>
          </reference>
          <reference field="0" count="1" selected="0">
            <x v="9"/>
          </reference>
        </references>
      </pivotArea>
    </chartFormat>
    <chartFormat chart="2" format="70" series="1">
      <pivotArea type="data" outline="0" fieldPosition="0">
        <references count="2">
          <reference field="4294967294" count="1" selected="0">
            <x v="0"/>
          </reference>
          <reference field="0" count="1" selected="0">
            <x v="10"/>
          </reference>
        </references>
      </pivotArea>
    </chartFormat>
    <chartFormat chart="2" format="71" series="1">
      <pivotArea type="data" outline="0" fieldPosition="0">
        <references count="2">
          <reference field="4294967294" count="1" selected="0">
            <x v="0"/>
          </reference>
          <reference field="0" count="1" selected="0">
            <x v="11"/>
          </reference>
        </references>
      </pivotArea>
    </chartFormat>
    <chartFormat chart="1" format="60" series="1">
      <pivotArea type="data" outline="0" fieldPosition="0">
        <references count="2">
          <reference field="4294967294" count="1" selected="0">
            <x v="0"/>
          </reference>
          <reference field="0" count="1" selected="0">
            <x v="0"/>
          </reference>
        </references>
      </pivotArea>
    </chartFormat>
    <chartFormat chart="1" format="61" series="1">
      <pivotArea type="data" outline="0" fieldPosition="0">
        <references count="2">
          <reference field="4294967294" count="1" selected="0">
            <x v="0"/>
          </reference>
          <reference field="0" count="1" selected="0">
            <x v="1"/>
          </reference>
        </references>
      </pivotArea>
    </chartFormat>
    <chartFormat chart="1" format="62" series="1">
      <pivotArea type="data" outline="0" fieldPosition="0">
        <references count="2">
          <reference field="4294967294" count="1" selected="0">
            <x v="0"/>
          </reference>
          <reference field="0" count="1" selected="0">
            <x v="2"/>
          </reference>
        </references>
      </pivotArea>
    </chartFormat>
    <chartFormat chart="1" format="63" series="1">
      <pivotArea type="data" outline="0" fieldPosition="0">
        <references count="2">
          <reference field="4294967294" count="1" selected="0">
            <x v="0"/>
          </reference>
          <reference field="0" count="1" selected="0">
            <x v="3"/>
          </reference>
        </references>
      </pivotArea>
    </chartFormat>
    <chartFormat chart="1" format="64" series="1">
      <pivotArea type="data" outline="0" fieldPosition="0">
        <references count="2">
          <reference field="4294967294" count="1" selected="0">
            <x v="0"/>
          </reference>
          <reference field="0" count="1" selected="0">
            <x v="4"/>
          </reference>
        </references>
      </pivotArea>
    </chartFormat>
    <chartFormat chart="1" format="65" series="1">
      <pivotArea type="data" outline="0" fieldPosition="0">
        <references count="2">
          <reference field="4294967294" count="1" selected="0">
            <x v="0"/>
          </reference>
          <reference field="0" count="1" selected="0">
            <x v="5"/>
          </reference>
        </references>
      </pivotArea>
    </chartFormat>
    <chartFormat chart="1" format="66" series="1">
      <pivotArea type="data" outline="0" fieldPosition="0">
        <references count="2">
          <reference field="4294967294" count="1" selected="0">
            <x v="0"/>
          </reference>
          <reference field="0" count="1" selected="0">
            <x v="6"/>
          </reference>
        </references>
      </pivotArea>
    </chartFormat>
    <chartFormat chart="1" format="67" series="1">
      <pivotArea type="data" outline="0" fieldPosition="0">
        <references count="2">
          <reference field="4294967294" count="1" selected="0">
            <x v="0"/>
          </reference>
          <reference field="0" count="1" selected="0">
            <x v="7"/>
          </reference>
        </references>
      </pivotArea>
    </chartFormat>
    <chartFormat chart="1" format="68" series="1">
      <pivotArea type="data" outline="0" fieldPosition="0">
        <references count="2">
          <reference field="4294967294" count="1" selected="0">
            <x v="0"/>
          </reference>
          <reference field="0" count="1" selected="0">
            <x v="8"/>
          </reference>
        </references>
      </pivotArea>
    </chartFormat>
    <chartFormat chart="1" format="69" series="1">
      <pivotArea type="data" outline="0" fieldPosition="0">
        <references count="2">
          <reference field="4294967294" count="1" selected="0">
            <x v="0"/>
          </reference>
          <reference field="0" count="1" selected="0">
            <x v="9"/>
          </reference>
        </references>
      </pivotArea>
    </chartFormat>
    <chartFormat chart="1" format="70" series="1">
      <pivotArea type="data" outline="0" fieldPosition="0">
        <references count="2">
          <reference field="4294967294" count="1" selected="0">
            <x v="0"/>
          </reference>
          <reference field="0" count="1" selected="0">
            <x v="10"/>
          </reference>
        </references>
      </pivotArea>
    </chartFormat>
    <chartFormat chart="1" format="71" series="1">
      <pivotArea type="data" outline="0" fieldPosition="0">
        <references count="2">
          <reference field="4294967294" count="1" selected="0">
            <x v="0"/>
          </reference>
          <reference field="0" count="1" selected="0">
            <x v="11"/>
          </reference>
        </references>
      </pivotArea>
    </chartFormat>
    <chartFormat chart="0" format="60" series="1">
      <pivotArea type="data" outline="0" fieldPosition="0">
        <references count="2">
          <reference field="4294967294" count="1" selected="0">
            <x v="0"/>
          </reference>
          <reference field="0" count="1" selected="0">
            <x v="0"/>
          </reference>
        </references>
      </pivotArea>
    </chartFormat>
    <chartFormat chart="0" format="61" series="1">
      <pivotArea type="data" outline="0" fieldPosition="0">
        <references count="2">
          <reference field="4294967294" count="1" selected="0">
            <x v="0"/>
          </reference>
          <reference field="0" count="1" selected="0">
            <x v="1"/>
          </reference>
        </references>
      </pivotArea>
    </chartFormat>
    <chartFormat chart="0" format="62" series="1">
      <pivotArea type="data" outline="0" fieldPosition="0">
        <references count="2">
          <reference field="4294967294" count="1" selected="0">
            <x v="0"/>
          </reference>
          <reference field="0" count="1" selected="0">
            <x v="2"/>
          </reference>
        </references>
      </pivotArea>
    </chartFormat>
    <chartFormat chart="0" format="63" series="1">
      <pivotArea type="data" outline="0" fieldPosition="0">
        <references count="2">
          <reference field="4294967294" count="1" selected="0">
            <x v="0"/>
          </reference>
          <reference field="0" count="1" selected="0">
            <x v="3"/>
          </reference>
        </references>
      </pivotArea>
    </chartFormat>
    <chartFormat chart="0" format="64" series="1">
      <pivotArea type="data" outline="0" fieldPosition="0">
        <references count="2">
          <reference field="4294967294" count="1" selected="0">
            <x v="0"/>
          </reference>
          <reference field="0" count="1" selected="0">
            <x v="4"/>
          </reference>
        </references>
      </pivotArea>
    </chartFormat>
    <chartFormat chart="0" format="65" series="1">
      <pivotArea type="data" outline="0" fieldPosition="0">
        <references count="2">
          <reference field="4294967294" count="1" selected="0">
            <x v="0"/>
          </reference>
          <reference field="0" count="1" selected="0">
            <x v="5"/>
          </reference>
        </references>
      </pivotArea>
    </chartFormat>
    <chartFormat chart="0" format="66" series="1">
      <pivotArea type="data" outline="0" fieldPosition="0">
        <references count="2">
          <reference field="4294967294" count="1" selected="0">
            <x v="0"/>
          </reference>
          <reference field="0" count="1" selected="0">
            <x v="6"/>
          </reference>
        </references>
      </pivotArea>
    </chartFormat>
    <chartFormat chart="0" format="67" series="1">
      <pivotArea type="data" outline="0" fieldPosition="0">
        <references count="2">
          <reference field="4294967294" count="1" selected="0">
            <x v="0"/>
          </reference>
          <reference field="0" count="1" selected="0">
            <x v="7"/>
          </reference>
        </references>
      </pivotArea>
    </chartFormat>
    <chartFormat chart="0" format="68" series="1">
      <pivotArea type="data" outline="0" fieldPosition="0">
        <references count="2">
          <reference field="4294967294" count="1" selected="0">
            <x v="0"/>
          </reference>
          <reference field="0" count="1" selected="0">
            <x v="8"/>
          </reference>
        </references>
      </pivotArea>
    </chartFormat>
    <chartFormat chart="0" format="69" series="1">
      <pivotArea type="data" outline="0" fieldPosition="0">
        <references count="2">
          <reference field="4294967294" count="1" selected="0">
            <x v="0"/>
          </reference>
          <reference field="0" count="1" selected="0">
            <x v="9"/>
          </reference>
        </references>
      </pivotArea>
    </chartFormat>
    <chartFormat chart="0" format="70" series="1">
      <pivotArea type="data" outline="0" fieldPosition="0">
        <references count="2">
          <reference field="4294967294" count="1" selected="0">
            <x v="0"/>
          </reference>
          <reference field="0" count="1" selected="0">
            <x v="10"/>
          </reference>
        </references>
      </pivotArea>
    </chartFormat>
    <chartFormat chart="0" format="71" series="1">
      <pivotArea type="data" outline="0" fieldPosition="0">
        <references count="2">
          <reference field="4294967294" count="1" selected="0">
            <x v="0"/>
          </reference>
          <reference field="0" count="1" selected="0">
            <x v="11"/>
          </reference>
        </references>
      </pivotArea>
    </chartFormat>
    <chartFormat chart="2" format="72" series="1">
      <pivotArea type="data" outline="0" fieldPosition="0">
        <references count="1">
          <reference field="4294967294" count="1" selected="0">
            <x v="0"/>
          </reference>
        </references>
      </pivotArea>
    </chartFormat>
    <chartFormat chart="1" format="72" series="1">
      <pivotArea type="data" outline="0" fieldPosition="0">
        <references count="1">
          <reference field="4294967294" count="1" selected="0">
            <x v="0"/>
          </reference>
        </references>
      </pivotArea>
    </chartFormat>
    <chartFormat chart="0" format="7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بائع" xr10:uid="{93DB67F2-B99A-4B36-A440-7BE486A4B2A3}" sourceName="البائع">
  <pivotTables>
    <pivotTable tabId="13" name="PivotTable6"/>
  </pivotTables>
  <data>
    <tabular pivotCacheId="256499149">
      <items count="12">
        <i x="0" s="1"/>
        <i x="8" s="1"/>
        <i x="10" s="1"/>
        <i x="7" s="1"/>
        <i x="2" s="1"/>
        <i x="6" s="1"/>
        <i x="5" s="1"/>
        <i x="11" s="1"/>
        <i x="3" s="1"/>
        <i x="1" s="1"/>
        <i x="4"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نتج" xr10:uid="{7B6F0A2A-E9AD-4039-BE8B-BA8AE215D455}" sourceName="المنتج">
  <pivotTables>
    <pivotTable tabId="13" name="PivotTable6"/>
  </pivotTables>
  <data>
    <tabular pivotCacheId="256499149">
      <items count="5">
        <i x="4" s="1"/>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نطقة" xr10:uid="{0C5BEA4D-30BE-45A1-A482-53DDD1053C71}" sourceName="المنطقة">
  <pivotTables>
    <pivotTable tabId="13" name="PivotTable6"/>
  </pivotTables>
  <data>
    <tabular pivotCacheId="256499149">
      <items count="4">
        <i x="1" s="1"/>
        <i x="2"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زبون" xr10:uid="{D03FFF56-69A8-4D54-951F-9DA5235A8C6C}" sourceName="الزبون">
  <pivotTables>
    <pivotTable tabId="13" name="PivotTable6"/>
  </pivotTables>
  <data>
    <tabular pivotCacheId="256499149">
      <items count="5">
        <i x="3" s="1"/>
        <i x="1" s="1"/>
        <i x="0"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بائع" xr10:uid="{32EB9F2D-1D8B-46BB-8D9E-D15A70F769CF}" cache="Slicer_البائع" caption="البائع" columnCount="2" rowHeight="234950"/>
  <slicer name="المنتج" xr10:uid="{E39010C2-9490-409E-8347-5619D8EA8503}" cache="Slicer_المنتج" caption="المنتج" rowHeight="234950"/>
  <slicer name="المنطقة" xr10:uid="{DD46D7A4-3C2E-4136-9821-91E8386F9A10}" cache="Slicer_المنطقة" caption="المنطقة" style="SlicerStyleLight4" rowHeight="234950"/>
  <slicer name="الزبون" xr10:uid="{9D584479-A5A3-48CF-A7AA-6EF533C63B0F}" cache="Slicer_الزبون" caption="الزبون"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26110-16EB-427C-AC87-CAE40299204D}">
  <dimension ref="A1:N8"/>
  <sheetViews>
    <sheetView rightToLeft="1" workbookViewId="0">
      <selection activeCell="A17" sqref="A17"/>
    </sheetView>
  </sheetViews>
  <sheetFormatPr defaultRowHeight="14.4" x14ac:dyDescent="0.3"/>
  <cols>
    <col min="1" max="1" width="17.44140625" bestFit="1" customWidth="1"/>
    <col min="2" max="2" width="15.5546875" bestFit="1" customWidth="1"/>
    <col min="3" max="3" width="7.109375" bestFit="1" customWidth="1"/>
    <col min="4" max="4" width="9" bestFit="1" customWidth="1"/>
    <col min="5" max="5" width="8.77734375" bestFit="1" customWidth="1"/>
    <col min="6" max="6" width="11.21875" bestFit="1" customWidth="1"/>
    <col min="7" max="7" width="9" bestFit="1" customWidth="1"/>
    <col min="8" max="8" width="9.5546875" bestFit="1" customWidth="1"/>
    <col min="9" max="9" width="10.109375" bestFit="1" customWidth="1"/>
    <col min="10" max="10" width="13.5546875" bestFit="1" customWidth="1"/>
    <col min="11" max="11" width="10" bestFit="1" customWidth="1"/>
    <col min="12" max="12" width="7.6640625" bestFit="1" customWidth="1"/>
    <col min="13" max="13" width="10.33203125" bestFit="1" customWidth="1"/>
    <col min="14" max="14" width="10.77734375" bestFit="1" customWidth="1"/>
    <col min="15" max="15" width="14.109375" bestFit="1" customWidth="1"/>
    <col min="16" max="16" width="7.109375" bestFit="1" customWidth="1"/>
    <col min="17" max="17" width="9" bestFit="1" customWidth="1"/>
    <col min="18" max="18" width="8.77734375" bestFit="1" customWidth="1"/>
    <col min="19" max="19" width="11.21875" bestFit="1" customWidth="1"/>
    <col min="20" max="20" width="9" bestFit="1" customWidth="1"/>
    <col min="21" max="21" width="9.5546875" bestFit="1" customWidth="1"/>
    <col min="22" max="22" width="10.109375" bestFit="1" customWidth="1"/>
    <col min="23" max="23" width="13.5546875" bestFit="1" customWidth="1"/>
    <col min="24" max="24" width="10" bestFit="1" customWidth="1"/>
    <col min="25" max="25" width="7.6640625" bestFit="1" customWidth="1"/>
    <col min="26" max="26" width="10.33203125" bestFit="1" customWidth="1"/>
    <col min="27" max="27" width="16.88671875" bestFit="1" customWidth="1"/>
    <col min="28" max="28" width="14.109375" bestFit="1" customWidth="1"/>
    <col min="29" max="29" width="7.109375" bestFit="1" customWidth="1"/>
    <col min="30" max="30" width="9" bestFit="1" customWidth="1"/>
    <col min="31" max="31" width="8.77734375" bestFit="1" customWidth="1"/>
    <col min="32" max="32" width="11.21875" bestFit="1" customWidth="1"/>
    <col min="33" max="33" width="9" bestFit="1" customWidth="1"/>
    <col min="34" max="34" width="9.5546875" bestFit="1" customWidth="1"/>
    <col min="35" max="35" width="10.109375" bestFit="1" customWidth="1"/>
    <col min="36" max="36" width="13.5546875" bestFit="1" customWidth="1"/>
    <col min="37" max="37" width="10" bestFit="1" customWidth="1"/>
    <col min="38" max="38" width="7.6640625" bestFit="1" customWidth="1"/>
    <col min="39" max="39" width="10.33203125" bestFit="1" customWidth="1"/>
    <col min="40" max="40" width="16.88671875" bestFit="1" customWidth="1"/>
    <col min="41" max="41" width="15.44140625" bestFit="1" customWidth="1"/>
    <col min="42" max="42" width="7.109375" bestFit="1" customWidth="1"/>
    <col min="43" max="43" width="9" bestFit="1" customWidth="1"/>
    <col min="44" max="44" width="8.77734375" bestFit="1" customWidth="1"/>
    <col min="45" max="45" width="11.21875" bestFit="1" customWidth="1"/>
    <col min="46" max="46" width="9" bestFit="1" customWidth="1"/>
    <col min="47" max="47" width="9.5546875" bestFit="1" customWidth="1"/>
    <col min="48" max="48" width="10.109375" bestFit="1" customWidth="1"/>
    <col min="49" max="49" width="13.5546875" bestFit="1" customWidth="1"/>
    <col min="50" max="50" width="10" bestFit="1" customWidth="1"/>
    <col min="51" max="51" width="7.6640625" bestFit="1" customWidth="1"/>
    <col min="52" max="52" width="10.33203125" bestFit="1" customWidth="1"/>
    <col min="53" max="53" width="18.21875" bestFit="1" customWidth="1"/>
    <col min="54" max="54" width="17.5546875" bestFit="1" customWidth="1"/>
    <col min="55" max="55" width="7.109375" bestFit="1" customWidth="1"/>
    <col min="56" max="56" width="9" bestFit="1" customWidth="1"/>
    <col min="57" max="57" width="8.77734375" bestFit="1" customWidth="1"/>
    <col min="58" max="58" width="11.21875" bestFit="1" customWidth="1"/>
    <col min="59" max="59" width="9" bestFit="1" customWidth="1"/>
    <col min="60" max="60" width="9.5546875" bestFit="1" customWidth="1"/>
    <col min="61" max="61" width="10.109375" bestFit="1" customWidth="1"/>
    <col min="62" max="62" width="13.5546875" bestFit="1" customWidth="1"/>
    <col min="63" max="63" width="10" bestFit="1" customWidth="1"/>
    <col min="64" max="64" width="7.6640625" bestFit="1" customWidth="1"/>
    <col min="65" max="65" width="10.33203125" bestFit="1" customWidth="1"/>
    <col min="66" max="66" width="20.33203125" bestFit="1" customWidth="1"/>
    <col min="67" max="67" width="10.77734375" bestFit="1" customWidth="1"/>
  </cols>
  <sheetData>
    <row r="1" spans="1:14" x14ac:dyDescent="0.3">
      <c r="A1" s="29" t="s">
        <v>48</v>
      </c>
      <c r="B1" s="29" t="s">
        <v>51</v>
      </c>
    </row>
    <row r="2" spans="1:14" x14ac:dyDescent="0.3">
      <c r="A2" s="29" t="s">
        <v>50</v>
      </c>
      <c r="B2" t="s">
        <v>2</v>
      </c>
      <c r="C2" t="s">
        <v>10</v>
      </c>
      <c r="D2" t="s">
        <v>12</v>
      </c>
      <c r="E2" t="s">
        <v>9</v>
      </c>
      <c r="F2" t="s">
        <v>4</v>
      </c>
      <c r="G2" t="s">
        <v>8</v>
      </c>
      <c r="H2" t="s">
        <v>7</v>
      </c>
      <c r="I2" t="s">
        <v>13</v>
      </c>
      <c r="J2" t="s">
        <v>5</v>
      </c>
      <c r="K2" t="s">
        <v>3</v>
      </c>
      <c r="L2" t="s">
        <v>6</v>
      </c>
      <c r="M2" t="s">
        <v>11</v>
      </c>
      <c r="N2" t="s">
        <v>1</v>
      </c>
    </row>
    <row r="3" spans="1:14" x14ac:dyDescent="0.3">
      <c r="A3" s="30" t="s">
        <v>27</v>
      </c>
      <c r="B3" s="36">
        <v>174</v>
      </c>
      <c r="C3" s="36">
        <v>90</v>
      </c>
      <c r="D3" s="36">
        <v>116</v>
      </c>
      <c r="E3" s="36">
        <v>107</v>
      </c>
      <c r="F3" s="36">
        <v>249</v>
      </c>
      <c r="G3" s="36">
        <v>128</v>
      </c>
      <c r="H3" s="36">
        <v>101</v>
      </c>
      <c r="I3" s="36">
        <v>117</v>
      </c>
      <c r="J3" s="36">
        <v>121</v>
      </c>
      <c r="K3" s="36">
        <v>199</v>
      </c>
      <c r="L3" s="36">
        <v>172</v>
      </c>
      <c r="M3" s="36">
        <v>105</v>
      </c>
      <c r="N3" s="36">
        <v>1679</v>
      </c>
    </row>
    <row r="4" spans="1:14" x14ac:dyDescent="0.3">
      <c r="A4" s="30" t="s">
        <v>23</v>
      </c>
      <c r="B4" s="36">
        <v>166</v>
      </c>
      <c r="C4" s="36">
        <v>121</v>
      </c>
      <c r="D4" s="36">
        <v>212</v>
      </c>
      <c r="E4" s="36">
        <v>142</v>
      </c>
      <c r="F4" s="36">
        <v>170</v>
      </c>
      <c r="G4" s="36">
        <v>172</v>
      </c>
      <c r="H4" s="36">
        <v>110</v>
      </c>
      <c r="I4" s="36">
        <v>183</v>
      </c>
      <c r="J4" s="36">
        <v>91</v>
      </c>
      <c r="K4" s="36">
        <v>217</v>
      </c>
      <c r="L4" s="36">
        <v>62</v>
      </c>
      <c r="M4" s="36">
        <v>169</v>
      </c>
      <c r="N4" s="36">
        <v>1815</v>
      </c>
    </row>
    <row r="5" spans="1:14" x14ac:dyDescent="0.3">
      <c r="A5" s="30" t="s">
        <v>25</v>
      </c>
      <c r="B5" s="36">
        <v>90</v>
      </c>
      <c r="C5" s="36">
        <v>72</v>
      </c>
      <c r="D5" s="36">
        <v>125</v>
      </c>
      <c r="E5" s="36">
        <v>74</v>
      </c>
      <c r="F5" s="36">
        <v>150</v>
      </c>
      <c r="G5" s="36">
        <v>79</v>
      </c>
      <c r="H5" s="36">
        <v>155</v>
      </c>
      <c r="I5" s="36">
        <v>151</v>
      </c>
      <c r="J5" s="36">
        <v>138</v>
      </c>
      <c r="K5" s="36">
        <v>214</v>
      </c>
      <c r="L5" s="36">
        <v>75</v>
      </c>
      <c r="M5" s="36">
        <v>80</v>
      </c>
      <c r="N5" s="36">
        <v>1403</v>
      </c>
    </row>
    <row r="6" spans="1:14" x14ac:dyDescent="0.3">
      <c r="A6" s="30" t="s">
        <v>26</v>
      </c>
      <c r="B6" s="36">
        <v>19</v>
      </c>
      <c r="C6" s="36">
        <v>93</v>
      </c>
      <c r="D6" s="36">
        <v>147</v>
      </c>
      <c r="E6" s="36">
        <v>79</v>
      </c>
      <c r="F6" s="36">
        <v>157</v>
      </c>
      <c r="G6" s="36">
        <v>134</v>
      </c>
      <c r="H6" s="36">
        <v>150</v>
      </c>
      <c r="I6" s="36">
        <v>209</v>
      </c>
      <c r="J6" s="36">
        <v>154</v>
      </c>
      <c r="K6" s="36">
        <v>239</v>
      </c>
      <c r="L6" s="36">
        <v>77</v>
      </c>
      <c r="M6" s="36">
        <v>154</v>
      </c>
      <c r="N6" s="36">
        <v>1612</v>
      </c>
    </row>
    <row r="7" spans="1:14" x14ac:dyDescent="0.3">
      <c r="A7" s="30" t="s">
        <v>24</v>
      </c>
      <c r="B7" s="36">
        <v>150</v>
      </c>
      <c r="C7" s="36">
        <v>62</v>
      </c>
      <c r="D7" s="36">
        <v>145</v>
      </c>
      <c r="E7" s="36">
        <v>122</v>
      </c>
      <c r="F7" s="36">
        <v>120</v>
      </c>
      <c r="G7" s="36">
        <v>145</v>
      </c>
      <c r="H7" s="36">
        <v>69</v>
      </c>
      <c r="I7" s="36">
        <v>118</v>
      </c>
      <c r="J7" s="36">
        <v>104</v>
      </c>
      <c r="K7" s="36">
        <v>199</v>
      </c>
      <c r="L7" s="36">
        <v>130</v>
      </c>
      <c r="M7" s="36">
        <v>124</v>
      </c>
      <c r="N7" s="36">
        <v>1488</v>
      </c>
    </row>
    <row r="8" spans="1:14" x14ac:dyDescent="0.3">
      <c r="A8" s="30" t="s">
        <v>1</v>
      </c>
      <c r="B8" s="36">
        <v>599</v>
      </c>
      <c r="C8" s="36">
        <v>438</v>
      </c>
      <c r="D8" s="36">
        <v>745</v>
      </c>
      <c r="E8" s="36">
        <v>524</v>
      </c>
      <c r="F8" s="36">
        <v>846</v>
      </c>
      <c r="G8" s="36">
        <v>658</v>
      </c>
      <c r="H8" s="36">
        <v>585</v>
      </c>
      <c r="I8" s="36">
        <v>778</v>
      </c>
      <c r="J8" s="36">
        <v>608</v>
      </c>
      <c r="K8" s="36">
        <v>1068</v>
      </c>
      <c r="L8" s="36">
        <v>516</v>
      </c>
      <c r="M8" s="36">
        <v>632</v>
      </c>
      <c r="N8" s="36">
        <v>7997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1F923-0CB5-4938-B3DE-6292C86C7145}">
  <sheetPr>
    <tabColor theme="9"/>
  </sheetPr>
  <dimension ref="A1:H910"/>
  <sheetViews>
    <sheetView rightToLeft="1" zoomScale="73" workbookViewId="0">
      <selection activeCell="B11" sqref="B11"/>
    </sheetView>
  </sheetViews>
  <sheetFormatPr defaultColWidth="8.88671875" defaultRowHeight="14.4" x14ac:dyDescent="0.3"/>
  <cols>
    <col min="1" max="1" width="19.6640625" style="14" bestFit="1" customWidth="1"/>
    <col min="2" max="2" width="22.109375" style="14" bestFit="1" customWidth="1"/>
    <col min="3" max="3" width="7.88671875" style="14" bestFit="1" customWidth="1"/>
    <col min="4" max="4" width="17.44140625" style="14" bestFit="1" customWidth="1"/>
    <col min="5" max="5" width="11.5546875" style="37" bestFit="1" customWidth="1"/>
    <col min="6" max="6" width="11.5546875" style="14" bestFit="1" customWidth="1"/>
    <col min="7" max="7" width="11.109375" style="14" bestFit="1" customWidth="1"/>
    <col min="8" max="8" width="13.109375" style="14" bestFit="1" customWidth="1"/>
    <col min="9" max="16384" width="8.88671875" style="14"/>
  </cols>
  <sheetData>
    <row r="1" spans="1:8" x14ac:dyDescent="0.3">
      <c r="A1" s="1" t="s">
        <v>28</v>
      </c>
      <c r="B1" s="2" t="s">
        <v>29</v>
      </c>
      <c r="C1" s="1" t="s">
        <v>30</v>
      </c>
      <c r="D1" s="2" t="s">
        <v>31</v>
      </c>
      <c r="E1" s="3" t="s">
        <v>32</v>
      </c>
      <c r="F1" s="4" t="s">
        <v>33</v>
      </c>
      <c r="G1" s="5" t="s">
        <v>34</v>
      </c>
      <c r="H1" s="6" t="s">
        <v>35</v>
      </c>
    </row>
    <row r="2" spans="1:8" x14ac:dyDescent="0.3">
      <c r="A2" s="9" t="s">
        <v>2</v>
      </c>
      <c r="B2" s="10" t="s">
        <v>23</v>
      </c>
      <c r="C2" s="11" t="s">
        <v>14</v>
      </c>
      <c r="D2" s="10" t="s">
        <v>18</v>
      </c>
      <c r="E2" s="12">
        <v>44043</v>
      </c>
      <c r="F2" s="31">
        <v>340.95</v>
      </c>
      <c r="G2" s="13">
        <v>12</v>
      </c>
      <c r="H2" s="31">
        <f t="shared" ref="H2:H65" si="0">F2*G2</f>
        <v>4091.3999999999996</v>
      </c>
    </row>
    <row r="3" spans="1:8" x14ac:dyDescent="0.3">
      <c r="A3" s="9" t="s">
        <v>3</v>
      </c>
      <c r="B3" s="10" t="s">
        <v>24</v>
      </c>
      <c r="C3" s="11" t="s">
        <v>15</v>
      </c>
      <c r="D3" s="10" t="s">
        <v>19</v>
      </c>
      <c r="E3" s="12">
        <v>44396</v>
      </c>
      <c r="F3" s="31">
        <v>79.989999999999995</v>
      </c>
      <c r="G3" s="13">
        <v>3</v>
      </c>
      <c r="H3" s="31">
        <f t="shared" si="0"/>
        <v>239.96999999999997</v>
      </c>
    </row>
    <row r="4" spans="1:8" x14ac:dyDescent="0.3">
      <c r="A4" s="17" t="s">
        <v>4</v>
      </c>
      <c r="B4" s="10" t="s">
        <v>26</v>
      </c>
      <c r="C4" s="11" t="s">
        <v>14</v>
      </c>
      <c r="D4" s="10" t="s">
        <v>19</v>
      </c>
      <c r="E4" s="12">
        <v>44230</v>
      </c>
      <c r="F4" s="31">
        <v>168.95</v>
      </c>
      <c r="G4" s="13">
        <v>13</v>
      </c>
      <c r="H4" s="31">
        <f t="shared" si="0"/>
        <v>2196.35</v>
      </c>
    </row>
    <row r="5" spans="1:8" x14ac:dyDescent="0.3">
      <c r="A5" s="9" t="s">
        <v>5</v>
      </c>
      <c r="B5" s="10" t="s">
        <v>25</v>
      </c>
      <c r="C5" s="11" t="s">
        <v>16</v>
      </c>
      <c r="D5" s="10" t="s">
        <v>19</v>
      </c>
      <c r="E5" s="12">
        <v>44288</v>
      </c>
      <c r="F5" s="31">
        <v>340.95</v>
      </c>
      <c r="G5" s="13">
        <v>4</v>
      </c>
      <c r="H5" s="31">
        <f t="shared" si="0"/>
        <v>1363.8</v>
      </c>
    </row>
    <row r="6" spans="1:8" x14ac:dyDescent="0.3">
      <c r="A6" s="17" t="s">
        <v>6</v>
      </c>
      <c r="B6" s="10" t="s">
        <v>25</v>
      </c>
      <c r="C6" s="11" t="s">
        <v>14</v>
      </c>
      <c r="D6" s="10" t="s">
        <v>20</v>
      </c>
      <c r="E6" s="12">
        <v>44402</v>
      </c>
      <c r="F6" s="31">
        <v>340.95</v>
      </c>
      <c r="G6" s="13">
        <v>6</v>
      </c>
      <c r="H6" s="31">
        <f t="shared" si="0"/>
        <v>2045.6999999999998</v>
      </c>
    </row>
    <row r="7" spans="1:8" x14ac:dyDescent="0.3">
      <c r="A7" s="9" t="s">
        <v>5</v>
      </c>
      <c r="B7" s="10" t="s">
        <v>26</v>
      </c>
      <c r="C7" s="11" t="s">
        <v>15</v>
      </c>
      <c r="D7" s="10" t="s">
        <v>19</v>
      </c>
      <c r="E7" s="12">
        <v>44190</v>
      </c>
      <c r="F7" s="31">
        <v>168.95</v>
      </c>
      <c r="G7" s="13">
        <v>12</v>
      </c>
      <c r="H7" s="31">
        <f t="shared" si="0"/>
        <v>2027.3999999999999</v>
      </c>
    </row>
    <row r="8" spans="1:8" x14ac:dyDescent="0.3">
      <c r="A8" s="9" t="s">
        <v>3</v>
      </c>
      <c r="B8" s="10" t="s">
        <v>26</v>
      </c>
      <c r="C8" s="11" t="s">
        <v>15</v>
      </c>
      <c r="D8" s="10" t="s">
        <v>21</v>
      </c>
      <c r="E8" s="12">
        <v>44155</v>
      </c>
      <c r="F8" s="31">
        <v>168.95</v>
      </c>
      <c r="G8" s="13">
        <v>4</v>
      </c>
      <c r="H8" s="31">
        <f t="shared" si="0"/>
        <v>675.8</v>
      </c>
    </row>
    <row r="9" spans="1:8" x14ac:dyDescent="0.3">
      <c r="A9" s="9" t="s">
        <v>7</v>
      </c>
      <c r="B9" s="10" t="s">
        <v>23</v>
      </c>
      <c r="C9" s="11" t="s">
        <v>17</v>
      </c>
      <c r="D9" s="10" t="s">
        <v>20</v>
      </c>
      <c r="E9" s="12">
        <v>44454</v>
      </c>
      <c r="F9" s="31">
        <v>340.95</v>
      </c>
      <c r="G9" s="13">
        <v>13</v>
      </c>
      <c r="H9" s="31">
        <f t="shared" si="0"/>
        <v>4432.3499999999995</v>
      </c>
    </row>
    <row r="10" spans="1:8" x14ac:dyDescent="0.3">
      <c r="A10" s="9" t="s">
        <v>3</v>
      </c>
      <c r="B10" s="10" t="s">
        <v>23</v>
      </c>
      <c r="C10" s="11" t="s">
        <v>15</v>
      </c>
      <c r="D10" s="10" t="s">
        <v>22</v>
      </c>
      <c r="E10" s="12">
        <v>43844</v>
      </c>
      <c r="F10" s="31">
        <v>340.95</v>
      </c>
      <c r="G10" s="13">
        <v>4</v>
      </c>
      <c r="H10" s="31">
        <f t="shared" si="0"/>
        <v>1363.8</v>
      </c>
    </row>
    <row r="11" spans="1:8" x14ac:dyDescent="0.3">
      <c r="A11" s="17" t="s">
        <v>8</v>
      </c>
      <c r="B11" s="10" t="s">
        <v>26</v>
      </c>
      <c r="C11" s="11" t="s">
        <v>17</v>
      </c>
      <c r="D11" s="10" t="s">
        <v>21</v>
      </c>
      <c r="E11" s="12">
        <v>44226</v>
      </c>
      <c r="F11" s="31">
        <v>168.95</v>
      </c>
      <c r="G11" s="13">
        <v>9</v>
      </c>
      <c r="H11" s="31">
        <f t="shared" si="0"/>
        <v>1520.55</v>
      </c>
    </row>
    <row r="12" spans="1:8" x14ac:dyDescent="0.3">
      <c r="A12" s="17" t="s">
        <v>6</v>
      </c>
      <c r="B12" s="10" t="s">
        <v>27</v>
      </c>
      <c r="C12" s="11" t="s">
        <v>14</v>
      </c>
      <c r="D12" s="10" t="s">
        <v>19</v>
      </c>
      <c r="E12" s="12">
        <v>44238</v>
      </c>
      <c r="F12" s="31">
        <v>799.95</v>
      </c>
      <c r="G12" s="13">
        <v>11</v>
      </c>
      <c r="H12" s="31">
        <f t="shared" si="0"/>
        <v>8799.4500000000007</v>
      </c>
    </row>
    <row r="13" spans="1:8" x14ac:dyDescent="0.3">
      <c r="A13" s="9" t="s">
        <v>9</v>
      </c>
      <c r="B13" s="10" t="s">
        <v>27</v>
      </c>
      <c r="C13" s="11" t="s">
        <v>15</v>
      </c>
      <c r="D13" s="10" t="s">
        <v>19</v>
      </c>
      <c r="E13" s="12">
        <v>43911</v>
      </c>
      <c r="F13" s="31">
        <v>799.95</v>
      </c>
      <c r="G13" s="13">
        <v>9</v>
      </c>
      <c r="H13" s="31">
        <f t="shared" si="0"/>
        <v>7199.55</v>
      </c>
    </row>
    <row r="14" spans="1:8" x14ac:dyDescent="0.3">
      <c r="A14" s="17" t="s">
        <v>10</v>
      </c>
      <c r="B14" s="10" t="s">
        <v>27</v>
      </c>
      <c r="C14" s="11" t="s">
        <v>16</v>
      </c>
      <c r="D14" s="10" t="s">
        <v>18</v>
      </c>
      <c r="E14" s="12">
        <v>44319</v>
      </c>
      <c r="F14" s="31">
        <v>799.95</v>
      </c>
      <c r="G14" s="13">
        <v>20</v>
      </c>
      <c r="H14" s="31">
        <f t="shared" si="0"/>
        <v>15999</v>
      </c>
    </row>
    <row r="15" spans="1:8" x14ac:dyDescent="0.3">
      <c r="A15" s="9" t="s">
        <v>9</v>
      </c>
      <c r="B15" s="10" t="s">
        <v>23</v>
      </c>
      <c r="C15" s="11" t="s">
        <v>15</v>
      </c>
      <c r="D15" s="10" t="s">
        <v>18</v>
      </c>
      <c r="E15" s="12">
        <v>43859</v>
      </c>
      <c r="F15" s="31">
        <v>340.95</v>
      </c>
      <c r="G15" s="13">
        <v>8</v>
      </c>
      <c r="H15" s="31">
        <f t="shared" si="0"/>
        <v>2727.6</v>
      </c>
    </row>
    <row r="16" spans="1:8" x14ac:dyDescent="0.3">
      <c r="A16" s="9" t="s">
        <v>9</v>
      </c>
      <c r="B16" s="10" t="s">
        <v>24</v>
      </c>
      <c r="C16" s="11" t="s">
        <v>15</v>
      </c>
      <c r="D16" s="10" t="s">
        <v>22</v>
      </c>
      <c r="E16" s="12">
        <v>43856</v>
      </c>
      <c r="F16" s="31">
        <v>79.989999999999995</v>
      </c>
      <c r="G16" s="13">
        <v>11</v>
      </c>
      <c r="H16" s="31">
        <f t="shared" si="0"/>
        <v>879.89</v>
      </c>
    </row>
    <row r="17" spans="1:8" x14ac:dyDescent="0.3">
      <c r="A17" s="9" t="s">
        <v>3</v>
      </c>
      <c r="B17" s="10" t="s">
        <v>25</v>
      </c>
      <c r="C17" s="11" t="s">
        <v>15</v>
      </c>
      <c r="D17" s="10" t="s">
        <v>19</v>
      </c>
      <c r="E17" s="12">
        <v>44283</v>
      </c>
      <c r="F17" s="31">
        <v>340.95</v>
      </c>
      <c r="G17" s="13">
        <v>4</v>
      </c>
      <c r="H17" s="31">
        <f t="shared" si="0"/>
        <v>1363.8</v>
      </c>
    </row>
    <row r="18" spans="1:8" x14ac:dyDescent="0.3">
      <c r="A18" s="9" t="s">
        <v>9</v>
      </c>
      <c r="B18" s="10" t="s">
        <v>25</v>
      </c>
      <c r="C18" s="11" t="s">
        <v>15</v>
      </c>
      <c r="D18" s="10" t="s">
        <v>22</v>
      </c>
      <c r="E18" s="12">
        <v>43929</v>
      </c>
      <c r="F18" s="31">
        <v>340.95</v>
      </c>
      <c r="G18" s="13">
        <v>3</v>
      </c>
      <c r="H18" s="31">
        <f t="shared" si="0"/>
        <v>1022.8499999999999</v>
      </c>
    </row>
    <row r="19" spans="1:8" x14ac:dyDescent="0.3">
      <c r="A19" s="17" t="s">
        <v>10</v>
      </c>
      <c r="B19" s="10" t="s">
        <v>23</v>
      </c>
      <c r="C19" s="11" t="s">
        <v>16</v>
      </c>
      <c r="D19" s="10" t="s">
        <v>18</v>
      </c>
      <c r="E19" s="12">
        <v>44494</v>
      </c>
      <c r="F19" s="31">
        <v>340.95</v>
      </c>
      <c r="G19" s="13">
        <v>18</v>
      </c>
      <c r="H19" s="31">
        <f t="shared" si="0"/>
        <v>6137.0999999999995</v>
      </c>
    </row>
    <row r="20" spans="1:8" x14ac:dyDescent="0.3">
      <c r="A20" s="9" t="s">
        <v>5</v>
      </c>
      <c r="B20" s="10" t="s">
        <v>23</v>
      </c>
      <c r="C20" s="11" t="s">
        <v>15</v>
      </c>
      <c r="D20" s="10" t="s">
        <v>20</v>
      </c>
      <c r="E20" s="12">
        <v>44287</v>
      </c>
      <c r="F20" s="31">
        <v>340.95</v>
      </c>
      <c r="G20" s="13">
        <v>13</v>
      </c>
      <c r="H20" s="31">
        <f t="shared" si="0"/>
        <v>4432.3499999999995</v>
      </c>
    </row>
    <row r="21" spans="1:8" x14ac:dyDescent="0.3">
      <c r="A21" s="17" t="s">
        <v>11</v>
      </c>
      <c r="B21" s="10" t="s">
        <v>26</v>
      </c>
      <c r="C21" s="11" t="s">
        <v>14</v>
      </c>
      <c r="D21" s="10" t="s">
        <v>20</v>
      </c>
      <c r="E21" s="12">
        <v>43967</v>
      </c>
      <c r="F21" s="31">
        <v>168.95</v>
      </c>
      <c r="G21" s="13">
        <v>14</v>
      </c>
      <c r="H21" s="31">
        <f t="shared" si="0"/>
        <v>2365.2999999999997</v>
      </c>
    </row>
    <row r="22" spans="1:8" x14ac:dyDescent="0.3">
      <c r="A22" s="17" t="s">
        <v>4</v>
      </c>
      <c r="B22" s="10" t="s">
        <v>24</v>
      </c>
      <c r="C22" s="11" t="s">
        <v>14</v>
      </c>
      <c r="D22" s="10" t="s">
        <v>21</v>
      </c>
      <c r="E22" s="12">
        <v>43897</v>
      </c>
      <c r="F22" s="31">
        <v>79.989999999999995</v>
      </c>
      <c r="G22" s="13">
        <v>12</v>
      </c>
      <c r="H22" s="31">
        <f t="shared" si="0"/>
        <v>959.87999999999988</v>
      </c>
    </row>
    <row r="23" spans="1:8" x14ac:dyDescent="0.3">
      <c r="A23" s="17" t="s">
        <v>8</v>
      </c>
      <c r="B23" s="10" t="s">
        <v>26</v>
      </c>
      <c r="C23" s="11" t="s">
        <v>17</v>
      </c>
      <c r="D23" s="10" t="s">
        <v>21</v>
      </c>
      <c r="E23" s="12">
        <v>43838</v>
      </c>
      <c r="F23" s="31">
        <v>168.95</v>
      </c>
      <c r="G23" s="13">
        <v>3</v>
      </c>
      <c r="H23" s="31">
        <f t="shared" si="0"/>
        <v>506.84999999999997</v>
      </c>
    </row>
    <row r="24" spans="1:8" x14ac:dyDescent="0.3">
      <c r="A24" s="17" t="s">
        <v>4</v>
      </c>
      <c r="B24" s="10" t="s">
        <v>26</v>
      </c>
      <c r="C24" s="11" t="s">
        <v>14</v>
      </c>
      <c r="D24" s="10" t="s">
        <v>18</v>
      </c>
      <c r="E24" s="12">
        <v>44189</v>
      </c>
      <c r="F24" s="31">
        <v>168.95</v>
      </c>
      <c r="G24" s="13">
        <v>19</v>
      </c>
      <c r="H24" s="31">
        <f t="shared" si="0"/>
        <v>3210.0499999999997</v>
      </c>
    </row>
    <row r="25" spans="1:8" x14ac:dyDescent="0.3">
      <c r="A25" s="17" t="s">
        <v>6</v>
      </c>
      <c r="B25" s="10" t="s">
        <v>23</v>
      </c>
      <c r="C25" s="11" t="s">
        <v>14</v>
      </c>
      <c r="D25" s="10" t="s">
        <v>20</v>
      </c>
      <c r="E25" s="12">
        <v>44482</v>
      </c>
      <c r="F25" s="31">
        <v>340.95</v>
      </c>
      <c r="G25" s="13">
        <v>1</v>
      </c>
      <c r="H25" s="31">
        <f t="shared" si="0"/>
        <v>340.95</v>
      </c>
    </row>
    <row r="26" spans="1:8" x14ac:dyDescent="0.3">
      <c r="A26" s="9" t="s">
        <v>3</v>
      </c>
      <c r="B26" s="10" t="s">
        <v>25</v>
      </c>
      <c r="C26" s="11" t="s">
        <v>15</v>
      </c>
      <c r="D26" s="10" t="s">
        <v>22</v>
      </c>
      <c r="E26" s="12">
        <v>44424</v>
      </c>
      <c r="F26" s="31">
        <v>340.95</v>
      </c>
      <c r="G26" s="13">
        <v>3</v>
      </c>
      <c r="H26" s="31">
        <f t="shared" si="0"/>
        <v>1022.8499999999999</v>
      </c>
    </row>
    <row r="27" spans="1:8" x14ac:dyDescent="0.3">
      <c r="A27" s="9" t="s">
        <v>5</v>
      </c>
      <c r="B27" s="10" t="s">
        <v>27</v>
      </c>
      <c r="C27" s="11" t="s">
        <v>15</v>
      </c>
      <c r="D27" s="10" t="s">
        <v>22</v>
      </c>
      <c r="E27" s="12">
        <v>44003</v>
      </c>
      <c r="F27" s="31">
        <v>799.95</v>
      </c>
      <c r="G27" s="13">
        <v>11</v>
      </c>
      <c r="H27" s="31">
        <f t="shared" si="0"/>
        <v>8799.4500000000007</v>
      </c>
    </row>
    <row r="28" spans="1:8" x14ac:dyDescent="0.3">
      <c r="A28" s="9" t="s">
        <v>7</v>
      </c>
      <c r="B28" s="10" t="s">
        <v>25</v>
      </c>
      <c r="C28" s="11" t="s">
        <v>17</v>
      </c>
      <c r="D28" s="10" t="s">
        <v>18</v>
      </c>
      <c r="E28" s="12">
        <v>44147</v>
      </c>
      <c r="F28" s="31">
        <v>340.95</v>
      </c>
      <c r="G28" s="13">
        <v>16</v>
      </c>
      <c r="H28" s="31">
        <f t="shared" si="0"/>
        <v>5455.2</v>
      </c>
    </row>
    <row r="29" spans="1:8" x14ac:dyDescent="0.3">
      <c r="A29" s="17" t="s">
        <v>10</v>
      </c>
      <c r="B29" s="10" t="s">
        <v>25</v>
      </c>
      <c r="C29" s="11" t="s">
        <v>16</v>
      </c>
      <c r="D29" s="10" t="s">
        <v>19</v>
      </c>
      <c r="E29" s="12">
        <v>44366</v>
      </c>
      <c r="F29" s="31">
        <v>340.95</v>
      </c>
      <c r="G29" s="13">
        <v>1</v>
      </c>
      <c r="H29" s="31">
        <f t="shared" si="0"/>
        <v>340.95</v>
      </c>
    </row>
    <row r="30" spans="1:8" x14ac:dyDescent="0.3">
      <c r="A30" s="17" t="s">
        <v>12</v>
      </c>
      <c r="B30" s="10" t="s">
        <v>23</v>
      </c>
      <c r="C30" s="11" t="s">
        <v>15</v>
      </c>
      <c r="D30" s="10" t="s">
        <v>22</v>
      </c>
      <c r="E30" s="12">
        <v>44256</v>
      </c>
      <c r="F30" s="31">
        <v>340.95</v>
      </c>
      <c r="G30" s="13">
        <v>11</v>
      </c>
      <c r="H30" s="31">
        <f t="shared" si="0"/>
        <v>3750.45</v>
      </c>
    </row>
    <row r="31" spans="1:8" x14ac:dyDescent="0.3">
      <c r="A31" s="9" t="s">
        <v>7</v>
      </c>
      <c r="B31" s="10" t="s">
        <v>23</v>
      </c>
      <c r="C31" s="11" t="s">
        <v>17</v>
      </c>
      <c r="D31" s="10" t="s">
        <v>21</v>
      </c>
      <c r="E31" s="12">
        <v>44195</v>
      </c>
      <c r="F31" s="31">
        <v>340.95</v>
      </c>
      <c r="G31" s="13">
        <v>12</v>
      </c>
      <c r="H31" s="31">
        <f t="shared" si="0"/>
        <v>4091.3999999999996</v>
      </c>
    </row>
    <row r="32" spans="1:8" x14ac:dyDescent="0.3">
      <c r="A32" s="9" t="s">
        <v>2</v>
      </c>
      <c r="B32" s="10" t="s">
        <v>24</v>
      </c>
      <c r="C32" s="11" t="s">
        <v>14</v>
      </c>
      <c r="D32" s="10" t="s">
        <v>19</v>
      </c>
      <c r="E32" s="12">
        <v>44385</v>
      </c>
      <c r="F32" s="31">
        <v>79.989999999999995</v>
      </c>
      <c r="G32" s="13">
        <v>14</v>
      </c>
      <c r="H32" s="31">
        <f t="shared" si="0"/>
        <v>1119.8599999999999</v>
      </c>
    </row>
    <row r="33" spans="1:8" x14ac:dyDescent="0.3">
      <c r="A33" s="17" t="s">
        <v>8</v>
      </c>
      <c r="B33" s="10" t="s">
        <v>25</v>
      </c>
      <c r="C33" s="11" t="s">
        <v>17</v>
      </c>
      <c r="D33" s="10" t="s">
        <v>20</v>
      </c>
      <c r="E33" s="12">
        <v>44270</v>
      </c>
      <c r="F33" s="31">
        <v>340.95</v>
      </c>
      <c r="G33" s="13">
        <v>4</v>
      </c>
      <c r="H33" s="31">
        <f t="shared" si="0"/>
        <v>1363.8</v>
      </c>
    </row>
    <row r="34" spans="1:8" x14ac:dyDescent="0.3">
      <c r="A34" s="9" t="s">
        <v>13</v>
      </c>
      <c r="B34" s="10" t="s">
        <v>26</v>
      </c>
      <c r="C34" s="11" t="s">
        <v>16</v>
      </c>
      <c r="D34" s="10" t="s">
        <v>22</v>
      </c>
      <c r="E34" s="12">
        <v>44494</v>
      </c>
      <c r="F34" s="31">
        <v>168.95</v>
      </c>
      <c r="G34" s="13">
        <v>1</v>
      </c>
      <c r="H34" s="31">
        <f t="shared" si="0"/>
        <v>168.95</v>
      </c>
    </row>
    <row r="35" spans="1:8" x14ac:dyDescent="0.3">
      <c r="A35" s="17" t="s">
        <v>11</v>
      </c>
      <c r="B35" s="10" t="s">
        <v>25</v>
      </c>
      <c r="C35" s="11" t="s">
        <v>14</v>
      </c>
      <c r="D35" s="10" t="s">
        <v>20</v>
      </c>
      <c r="E35" s="12">
        <v>44010</v>
      </c>
      <c r="F35" s="31">
        <v>340.95</v>
      </c>
      <c r="G35" s="13">
        <v>4</v>
      </c>
      <c r="H35" s="31">
        <f t="shared" si="0"/>
        <v>1363.8</v>
      </c>
    </row>
    <row r="36" spans="1:8" x14ac:dyDescent="0.3">
      <c r="A36" s="9" t="s">
        <v>13</v>
      </c>
      <c r="B36" s="10" t="s">
        <v>26</v>
      </c>
      <c r="C36" s="11" t="s">
        <v>16</v>
      </c>
      <c r="D36" s="10" t="s">
        <v>21</v>
      </c>
      <c r="E36" s="12">
        <v>44480</v>
      </c>
      <c r="F36" s="31">
        <v>168.95</v>
      </c>
      <c r="G36" s="13">
        <v>10</v>
      </c>
      <c r="H36" s="31">
        <f t="shared" si="0"/>
        <v>1689.5</v>
      </c>
    </row>
    <row r="37" spans="1:8" x14ac:dyDescent="0.3">
      <c r="A37" s="9" t="s">
        <v>5</v>
      </c>
      <c r="B37" s="10" t="s">
        <v>24</v>
      </c>
      <c r="C37" s="11" t="s">
        <v>15</v>
      </c>
      <c r="D37" s="10" t="s">
        <v>21</v>
      </c>
      <c r="E37" s="12">
        <v>44428</v>
      </c>
      <c r="F37" s="31">
        <v>79.989999999999995</v>
      </c>
      <c r="G37" s="13">
        <v>13</v>
      </c>
      <c r="H37" s="31">
        <f t="shared" si="0"/>
        <v>1039.8699999999999</v>
      </c>
    </row>
    <row r="38" spans="1:8" x14ac:dyDescent="0.3">
      <c r="A38" s="17" t="s">
        <v>8</v>
      </c>
      <c r="B38" s="10" t="s">
        <v>23</v>
      </c>
      <c r="C38" s="11" t="s">
        <v>17</v>
      </c>
      <c r="D38" s="10" t="s">
        <v>19</v>
      </c>
      <c r="E38" s="12">
        <v>44424</v>
      </c>
      <c r="F38" s="31">
        <v>340.95</v>
      </c>
      <c r="G38" s="13">
        <v>8</v>
      </c>
      <c r="H38" s="31">
        <f t="shared" si="0"/>
        <v>2727.6</v>
      </c>
    </row>
    <row r="39" spans="1:8" x14ac:dyDescent="0.3">
      <c r="A39" s="17" t="s">
        <v>4</v>
      </c>
      <c r="B39" s="10" t="s">
        <v>26</v>
      </c>
      <c r="C39" s="11" t="s">
        <v>14</v>
      </c>
      <c r="D39" s="10" t="s">
        <v>21</v>
      </c>
      <c r="E39" s="12">
        <v>44500</v>
      </c>
      <c r="F39" s="31">
        <v>168.95</v>
      </c>
      <c r="G39" s="13">
        <v>2</v>
      </c>
      <c r="H39" s="31">
        <f t="shared" si="0"/>
        <v>337.9</v>
      </c>
    </row>
    <row r="40" spans="1:8" x14ac:dyDescent="0.3">
      <c r="A40" s="9" t="s">
        <v>2</v>
      </c>
      <c r="B40" s="10" t="s">
        <v>23</v>
      </c>
      <c r="C40" s="11" t="s">
        <v>14</v>
      </c>
      <c r="D40" s="10" t="s">
        <v>21</v>
      </c>
      <c r="E40" s="12">
        <v>44462</v>
      </c>
      <c r="F40" s="31">
        <v>340.95</v>
      </c>
      <c r="G40" s="13">
        <v>8</v>
      </c>
      <c r="H40" s="31">
        <f t="shared" si="0"/>
        <v>2727.6</v>
      </c>
    </row>
    <row r="41" spans="1:8" x14ac:dyDescent="0.3">
      <c r="A41" s="17" t="s">
        <v>10</v>
      </c>
      <c r="B41" s="10" t="s">
        <v>24</v>
      </c>
      <c r="C41" s="11" t="s">
        <v>16</v>
      </c>
      <c r="D41" s="10" t="s">
        <v>18</v>
      </c>
      <c r="E41" s="12">
        <v>44326</v>
      </c>
      <c r="F41" s="31">
        <v>79.989999999999995</v>
      </c>
      <c r="G41" s="13">
        <v>8</v>
      </c>
      <c r="H41" s="31">
        <f t="shared" si="0"/>
        <v>639.91999999999996</v>
      </c>
    </row>
    <row r="42" spans="1:8" x14ac:dyDescent="0.3">
      <c r="A42" s="9" t="s">
        <v>3</v>
      </c>
      <c r="B42" s="10" t="s">
        <v>23</v>
      </c>
      <c r="C42" s="11" t="s">
        <v>15</v>
      </c>
      <c r="D42" s="10" t="s">
        <v>20</v>
      </c>
      <c r="E42" s="12">
        <v>43946</v>
      </c>
      <c r="F42" s="31">
        <v>340.95</v>
      </c>
      <c r="G42" s="13">
        <v>7</v>
      </c>
      <c r="H42" s="31">
        <f t="shared" si="0"/>
        <v>2386.65</v>
      </c>
    </row>
    <row r="43" spans="1:8" x14ac:dyDescent="0.3">
      <c r="A43" s="17" t="s">
        <v>10</v>
      </c>
      <c r="B43" s="10" t="s">
        <v>26</v>
      </c>
      <c r="C43" s="11" t="s">
        <v>16</v>
      </c>
      <c r="D43" s="10" t="s">
        <v>19</v>
      </c>
      <c r="E43" s="12">
        <v>44178</v>
      </c>
      <c r="F43" s="31">
        <v>168.95</v>
      </c>
      <c r="G43" s="13">
        <v>1</v>
      </c>
      <c r="H43" s="31">
        <f t="shared" si="0"/>
        <v>168.95</v>
      </c>
    </row>
    <row r="44" spans="1:8" x14ac:dyDescent="0.3">
      <c r="A44" s="9" t="s">
        <v>2</v>
      </c>
      <c r="B44" s="10" t="s">
        <v>23</v>
      </c>
      <c r="C44" s="11" t="s">
        <v>14</v>
      </c>
      <c r="D44" s="10" t="s">
        <v>21</v>
      </c>
      <c r="E44" s="12">
        <v>44205</v>
      </c>
      <c r="F44" s="31">
        <v>340.95</v>
      </c>
      <c r="G44" s="13">
        <v>11</v>
      </c>
      <c r="H44" s="31">
        <f t="shared" si="0"/>
        <v>3750.45</v>
      </c>
    </row>
    <row r="45" spans="1:8" x14ac:dyDescent="0.3">
      <c r="A45" s="9" t="s">
        <v>9</v>
      </c>
      <c r="B45" s="10" t="s">
        <v>26</v>
      </c>
      <c r="C45" s="11" t="s">
        <v>15</v>
      </c>
      <c r="D45" s="10" t="s">
        <v>21</v>
      </c>
      <c r="E45" s="12">
        <v>44000</v>
      </c>
      <c r="F45" s="31">
        <v>168.95</v>
      </c>
      <c r="G45" s="13">
        <v>9</v>
      </c>
      <c r="H45" s="31">
        <f t="shared" si="0"/>
        <v>1520.55</v>
      </c>
    </row>
    <row r="46" spans="1:8" x14ac:dyDescent="0.3">
      <c r="A46" s="9" t="s">
        <v>13</v>
      </c>
      <c r="B46" s="10" t="s">
        <v>25</v>
      </c>
      <c r="C46" s="11" t="s">
        <v>16</v>
      </c>
      <c r="D46" s="10" t="s">
        <v>21</v>
      </c>
      <c r="E46" s="12">
        <v>44482</v>
      </c>
      <c r="F46" s="31">
        <v>340.95</v>
      </c>
      <c r="G46" s="13">
        <v>4</v>
      </c>
      <c r="H46" s="31">
        <f t="shared" si="0"/>
        <v>1363.8</v>
      </c>
    </row>
    <row r="47" spans="1:8" x14ac:dyDescent="0.3">
      <c r="A47" s="9" t="s">
        <v>7</v>
      </c>
      <c r="B47" s="10" t="s">
        <v>23</v>
      </c>
      <c r="C47" s="11" t="s">
        <v>17</v>
      </c>
      <c r="D47" s="10" t="s">
        <v>19</v>
      </c>
      <c r="E47" s="12">
        <v>44554</v>
      </c>
      <c r="F47" s="31">
        <v>340.95</v>
      </c>
      <c r="G47" s="13">
        <v>12</v>
      </c>
      <c r="H47" s="31">
        <f t="shared" si="0"/>
        <v>4091.3999999999996</v>
      </c>
    </row>
    <row r="48" spans="1:8" x14ac:dyDescent="0.3">
      <c r="A48" s="17" t="s">
        <v>4</v>
      </c>
      <c r="B48" s="10" t="s">
        <v>27</v>
      </c>
      <c r="C48" s="11" t="s">
        <v>14</v>
      </c>
      <c r="D48" s="10" t="s">
        <v>21</v>
      </c>
      <c r="E48" s="12">
        <v>44095</v>
      </c>
      <c r="F48" s="31">
        <v>799.95</v>
      </c>
      <c r="G48" s="13">
        <v>10</v>
      </c>
      <c r="H48" s="31">
        <f t="shared" si="0"/>
        <v>7999.5</v>
      </c>
    </row>
    <row r="49" spans="1:8" x14ac:dyDescent="0.3">
      <c r="A49" s="9" t="s">
        <v>13</v>
      </c>
      <c r="B49" s="10" t="s">
        <v>23</v>
      </c>
      <c r="C49" s="11" t="s">
        <v>16</v>
      </c>
      <c r="D49" s="10" t="s">
        <v>20</v>
      </c>
      <c r="E49" s="12">
        <v>44245</v>
      </c>
      <c r="F49" s="31">
        <v>340.95</v>
      </c>
      <c r="G49" s="13">
        <v>15</v>
      </c>
      <c r="H49" s="31">
        <f t="shared" si="0"/>
        <v>5114.25</v>
      </c>
    </row>
    <row r="50" spans="1:8" x14ac:dyDescent="0.3">
      <c r="A50" s="9" t="s">
        <v>5</v>
      </c>
      <c r="B50" s="10" t="s">
        <v>27</v>
      </c>
      <c r="C50" s="11" t="s">
        <v>15</v>
      </c>
      <c r="D50" s="10" t="s">
        <v>19</v>
      </c>
      <c r="E50" s="12">
        <v>43962</v>
      </c>
      <c r="F50" s="31">
        <v>799.95</v>
      </c>
      <c r="G50" s="13">
        <v>6</v>
      </c>
      <c r="H50" s="31">
        <f t="shared" si="0"/>
        <v>4799.7000000000007</v>
      </c>
    </row>
    <row r="51" spans="1:8" x14ac:dyDescent="0.3">
      <c r="A51" s="9" t="s">
        <v>2</v>
      </c>
      <c r="B51" s="10" t="s">
        <v>24</v>
      </c>
      <c r="C51" s="11" t="s">
        <v>14</v>
      </c>
      <c r="D51" s="10" t="s">
        <v>19</v>
      </c>
      <c r="E51" s="12">
        <v>44230</v>
      </c>
      <c r="F51" s="31">
        <v>79.989999999999995</v>
      </c>
      <c r="G51" s="13">
        <v>8</v>
      </c>
      <c r="H51" s="31">
        <f t="shared" si="0"/>
        <v>639.91999999999996</v>
      </c>
    </row>
    <row r="52" spans="1:8" x14ac:dyDescent="0.3">
      <c r="A52" s="9" t="s">
        <v>3</v>
      </c>
      <c r="B52" s="10" t="s">
        <v>26</v>
      </c>
      <c r="C52" s="11" t="s">
        <v>15</v>
      </c>
      <c r="D52" s="10" t="s">
        <v>19</v>
      </c>
      <c r="E52" s="12">
        <v>44526</v>
      </c>
      <c r="F52" s="31">
        <v>168.95</v>
      </c>
      <c r="G52" s="13">
        <v>1</v>
      </c>
      <c r="H52" s="31">
        <f t="shared" si="0"/>
        <v>168.95</v>
      </c>
    </row>
    <row r="53" spans="1:8" x14ac:dyDescent="0.3">
      <c r="A53" s="9" t="s">
        <v>9</v>
      </c>
      <c r="B53" s="10" t="s">
        <v>25</v>
      </c>
      <c r="C53" s="11" t="s">
        <v>15</v>
      </c>
      <c r="D53" s="10" t="s">
        <v>20</v>
      </c>
      <c r="E53" s="12">
        <v>44213</v>
      </c>
      <c r="F53" s="31">
        <v>340.95</v>
      </c>
      <c r="G53" s="13">
        <v>2</v>
      </c>
      <c r="H53" s="31">
        <f t="shared" si="0"/>
        <v>681.9</v>
      </c>
    </row>
    <row r="54" spans="1:8" x14ac:dyDescent="0.3">
      <c r="A54" s="17" t="s">
        <v>10</v>
      </c>
      <c r="B54" s="10" t="s">
        <v>27</v>
      </c>
      <c r="C54" s="11" t="s">
        <v>16</v>
      </c>
      <c r="D54" s="10" t="s">
        <v>20</v>
      </c>
      <c r="E54" s="12">
        <v>44184</v>
      </c>
      <c r="F54" s="31">
        <v>799.95</v>
      </c>
      <c r="G54" s="13">
        <v>14</v>
      </c>
      <c r="H54" s="31">
        <f t="shared" si="0"/>
        <v>11199.300000000001</v>
      </c>
    </row>
    <row r="55" spans="1:8" x14ac:dyDescent="0.3">
      <c r="A55" s="9" t="s">
        <v>9</v>
      </c>
      <c r="B55" s="10" t="s">
        <v>25</v>
      </c>
      <c r="C55" s="11" t="s">
        <v>15</v>
      </c>
      <c r="D55" s="10" t="s">
        <v>22</v>
      </c>
      <c r="E55" s="12">
        <v>44080</v>
      </c>
      <c r="F55" s="31">
        <v>340.95</v>
      </c>
      <c r="G55" s="13">
        <v>1</v>
      </c>
      <c r="H55" s="31">
        <f t="shared" si="0"/>
        <v>340.95</v>
      </c>
    </row>
    <row r="56" spans="1:8" x14ac:dyDescent="0.3">
      <c r="A56" s="9" t="s">
        <v>13</v>
      </c>
      <c r="B56" s="10" t="s">
        <v>26</v>
      </c>
      <c r="C56" s="11" t="s">
        <v>16</v>
      </c>
      <c r="D56" s="10" t="s">
        <v>19</v>
      </c>
      <c r="E56" s="12">
        <v>44286</v>
      </c>
      <c r="F56" s="31">
        <v>168.95</v>
      </c>
      <c r="G56" s="13">
        <v>14</v>
      </c>
      <c r="H56" s="31">
        <f t="shared" si="0"/>
        <v>2365.2999999999997</v>
      </c>
    </row>
    <row r="57" spans="1:8" x14ac:dyDescent="0.3">
      <c r="A57" s="9" t="s">
        <v>5</v>
      </c>
      <c r="B57" s="10" t="s">
        <v>27</v>
      </c>
      <c r="C57" s="11" t="s">
        <v>15</v>
      </c>
      <c r="D57" s="10" t="s">
        <v>19</v>
      </c>
      <c r="E57" s="12">
        <v>44234</v>
      </c>
      <c r="F57" s="31">
        <v>799.95</v>
      </c>
      <c r="G57" s="13">
        <v>6</v>
      </c>
      <c r="H57" s="31">
        <f t="shared" si="0"/>
        <v>4799.7000000000007</v>
      </c>
    </row>
    <row r="58" spans="1:8" x14ac:dyDescent="0.3">
      <c r="A58" s="17" t="s">
        <v>4</v>
      </c>
      <c r="B58" s="10" t="s">
        <v>26</v>
      </c>
      <c r="C58" s="11" t="s">
        <v>14</v>
      </c>
      <c r="D58" s="10" t="s">
        <v>21</v>
      </c>
      <c r="E58" s="12">
        <v>44476</v>
      </c>
      <c r="F58" s="31">
        <v>168.95</v>
      </c>
      <c r="G58" s="13">
        <v>1</v>
      </c>
      <c r="H58" s="31">
        <f t="shared" si="0"/>
        <v>168.95</v>
      </c>
    </row>
    <row r="59" spans="1:8" x14ac:dyDescent="0.3">
      <c r="A59" s="17" t="s">
        <v>4</v>
      </c>
      <c r="B59" s="10" t="s">
        <v>23</v>
      </c>
      <c r="C59" s="11" t="s">
        <v>14</v>
      </c>
      <c r="D59" s="10" t="s">
        <v>18</v>
      </c>
      <c r="E59" s="12">
        <v>44347</v>
      </c>
      <c r="F59" s="31">
        <v>340.95</v>
      </c>
      <c r="G59" s="13">
        <v>20</v>
      </c>
      <c r="H59" s="31">
        <f t="shared" si="0"/>
        <v>6819</v>
      </c>
    </row>
    <row r="60" spans="1:8" x14ac:dyDescent="0.3">
      <c r="A60" s="17" t="s">
        <v>10</v>
      </c>
      <c r="B60" s="10" t="s">
        <v>24</v>
      </c>
      <c r="C60" s="11" t="s">
        <v>16</v>
      </c>
      <c r="D60" s="10" t="s">
        <v>19</v>
      </c>
      <c r="E60" s="12">
        <v>44497</v>
      </c>
      <c r="F60" s="31">
        <v>79.989999999999995</v>
      </c>
      <c r="G60" s="13">
        <v>8</v>
      </c>
      <c r="H60" s="31">
        <f t="shared" si="0"/>
        <v>639.91999999999996</v>
      </c>
    </row>
    <row r="61" spans="1:8" x14ac:dyDescent="0.3">
      <c r="A61" s="9" t="s">
        <v>7</v>
      </c>
      <c r="B61" s="10" t="s">
        <v>27</v>
      </c>
      <c r="C61" s="11" t="s">
        <v>17</v>
      </c>
      <c r="D61" s="10" t="s">
        <v>19</v>
      </c>
      <c r="E61" s="12">
        <v>44126</v>
      </c>
      <c r="F61" s="31">
        <v>799.95</v>
      </c>
      <c r="G61" s="13">
        <v>5</v>
      </c>
      <c r="H61" s="31">
        <f t="shared" si="0"/>
        <v>3999.75</v>
      </c>
    </row>
    <row r="62" spans="1:8" x14ac:dyDescent="0.3">
      <c r="A62" s="9" t="s">
        <v>13</v>
      </c>
      <c r="B62" s="10" t="s">
        <v>25</v>
      </c>
      <c r="C62" s="11" t="s">
        <v>16</v>
      </c>
      <c r="D62" s="10" t="s">
        <v>18</v>
      </c>
      <c r="E62" s="12">
        <v>44552</v>
      </c>
      <c r="F62" s="31">
        <v>340.95</v>
      </c>
      <c r="G62" s="13">
        <v>12</v>
      </c>
      <c r="H62" s="31">
        <f t="shared" si="0"/>
        <v>4091.3999999999996</v>
      </c>
    </row>
    <row r="63" spans="1:8" x14ac:dyDescent="0.3">
      <c r="A63" s="9" t="s">
        <v>13</v>
      </c>
      <c r="B63" s="10" t="s">
        <v>27</v>
      </c>
      <c r="C63" s="11" t="s">
        <v>16</v>
      </c>
      <c r="D63" s="10" t="s">
        <v>19</v>
      </c>
      <c r="E63" s="12">
        <v>44017</v>
      </c>
      <c r="F63" s="31">
        <v>799.95</v>
      </c>
      <c r="G63" s="13">
        <v>2</v>
      </c>
      <c r="H63" s="31">
        <f t="shared" si="0"/>
        <v>1599.9</v>
      </c>
    </row>
    <row r="64" spans="1:8" x14ac:dyDescent="0.3">
      <c r="A64" s="17" t="s">
        <v>10</v>
      </c>
      <c r="B64" s="10" t="s">
        <v>24</v>
      </c>
      <c r="C64" s="11" t="s">
        <v>16</v>
      </c>
      <c r="D64" s="10" t="s">
        <v>20</v>
      </c>
      <c r="E64" s="12">
        <v>44409</v>
      </c>
      <c r="F64" s="31">
        <v>79.989999999999995</v>
      </c>
      <c r="G64" s="13">
        <v>9</v>
      </c>
      <c r="H64" s="31">
        <f t="shared" si="0"/>
        <v>719.91</v>
      </c>
    </row>
    <row r="65" spans="1:8" x14ac:dyDescent="0.3">
      <c r="A65" s="17" t="s">
        <v>10</v>
      </c>
      <c r="B65" s="10" t="s">
        <v>24</v>
      </c>
      <c r="C65" s="11" t="s">
        <v>16</v>
      </c>
      <c r="D65" s="10" t="s">
        <v>22</v>
      </c>
      <c r="E65" s="12">
        <v>44233</v>
      </c>
      <c r="F65" s="31">
        <v>79.989999999999995</v>
      </c>
      <c r="G65" s="13">
        <v>3</v>
      </c>
      <c r="H65" s="31">
        <f t="shared" si="0"/>
        <v>239.96999999999997</v>
      </c>
    </row>
    <row r="66" spans="1:8" x14ac:dyDescent="0.3">
      <c r="A66" s="9" t="s">
        <v>13</v>
      </c>
      <c r="B66" s="10" t="s">
        <v>23</v>
      </c>
      <c r="C66" s="11" t="s">
        <v>16</v>
      </c>
      <c r="D66" s="10" t="s">
        <v>18</v>
      </c>
      <c r="E66" s="12">
        <v>43858</v>
      </c>
      <c r="F66" s="31">
        <v>340.95</v>
      </c>
      <c r="G66" s="13">
        <v>7</v>
      </c>
      <c r="H66" s="31">
        <f t="shared" ref="H66:H129" si="1">F66*G66</f>
        <v>2386.65</v>
      </c>
    </row>
    <row r="67" spans="1:8" x14ac:dyDescent="0.3">
      <c r="A67" s="9" t="s">
        <v>9</v>
      </c>
      <c r="B67" s="10" t="s">
        <v>24</v>
      </c>
      <c r="C67" s="11" t="s">
        <v>15</v>
      </c>
      <c r="D67" s="10" t="s">
        <v>19</v>
      </c>
      <c r="E67" s="12">
        <v>43940</v>
      </c>
      <c r="F67" s="31">
        <v>79.989999999999995</v>
      </c>
      <c r="G67" s="13">
        <v>8</v>
      </c>
      <c r="H67" s="31">
        <f t="shared" si="1"/>
        <v>639.91999999999996</v>
      </c>
    </row>
    <row r="68" spans="1:8" x14ac:dyDescent="0.3">
      <c r="A68" s="9" t="s">
        <v>5</v>
      </c>
      <c r="B68" s="10" t="s">
        <v>27</v>
      </c>
      <c r="C68" s="11" t="s">
        <v>15</v>
      </c>
      <c r="D68" s="10" t="s">
        <v>21</v>
      </c>
      <c r="E68" s="12">
        <v>44062</v>
      </c>
      <c r="F68" s="31">
        <v>799.95</v>
      </c>
      <c r="G68" s="13">
        <v>1</v>
      </c>
      <c r="H68" s="31">
        <f t="shared" si="1"/>
        <v>799.95</v>
      </c>
    </row>
    <row r="69" spans="1:8" x14ac:dyDescent="0.3">
      <c r="A69" s="17" t="s">
        <v>8</v>
      </c>
      <c r="B69" s="10" t="s">
        <v>23</v>
      </c>
      <c r="C69" s="11" t="s">
        <v>17</v>
      </c>
      <c r="D69" s="10" t="s">
        <v>21</v>
      </c>
      <c r="E69" s="12">
        <v>44052</v>
      </c>
      <c r="F69" s="31">
        <v>340.95</v>
      </c>
      <c r="G69" s="13">
        <v>14</v>
      </c>
      <c r="H69" s="31">
        <f t="shared" si="1"/>
        <v>4773.3</v>
      </c>
    </row>
    <row r="70" spans="1:8" x14ac:dyDescent="0.3">
      <c r="A70" s="17" t="s">
        <v>6</v>
      </c>
      <c r="B70" s="10" t="s">
        <v>26</v>
      </c>
      <c r="C70" s="11" t="s">
        <v>14</v>
      </c>
      <c r="D70" s="10" t="s">
        <v>19</v>
      </c>
      <c r="E70" s="12">
        <v>44337</v>
      </c>
      <c r="F70" s="31">
        <v>168.95</v>
      </c>
      <c r="G70" s="13">
        <v>6</v>
      </c>
      <c r="H70" s="31">
        <f t="shared" si="1"/>
        <v>1013.6999999999999</v>
      </c>
    </row>
    <row r="71" spans="1:8" x14ac:dyDescent="0.3">
      <c r="A71" s="17" t="s">
        <v>10</v>
      </c>
      <c r="B71" s="10" t="s">
        <v>27</v>
      </c>
      <c r="C71" s="11" t="s">
        <v>16</v>
      </c>
      <c r="D71" s="10" t="s">
        <v>22</v>
      </c>
      <c r="E71" s="12">
        <v>44470</v>
      </c>
      <c r="F71" s="31">
        <v>799.95</v>
      </c>
      <c r="G71" s="13">
        <v>4</v>
      </c>
      <c r="H71" s="31">
        <f t="shared" si="1"/>
        <v>3199.8</v>
      </c>
    </row>
    <row r="72" spans="1:8" x14ac:dyDescent="0.3">
      <c r="A72" s="17" t="s">
        <v>6</v>
      </c>
      <c r="B72" s="10" t="s">
        <v>26</v>
      </c>
      <c r="C72" s="11" t="s">
        <v>14</v>
      </c>
      <c r="D72" s="10" t="s">
        <v>18</v>
      </c>
      <c r="E72" s="12">
        <v>44111</v>
      </c>
      <c r="F72" s="31">
        <v>168.95</v>
      </c>
      <c r="G72" s="13">
        <v>18</v>
      </c>
      <c r="H72" s="31">
        <f t="shared" si="1"/>
        <v>3041.1</v>
      </c>
    </row>
    <row r="73" spans="1:8" x14ac:dyDescent="0.3">
      <c r="A73" s="9" t="s">
        <v>7</v>
      </c>
      <c r="B73" s="10" t="s">
        <v>26</v>
      </c>
      <c r="C73" s="11" t="s">
        <v>17</v>
      </c>
      <c r="D73" s="10" t="s">
        <v>21</v>
      </c>
      <c r="E73" s="12">
        <v>44542</v>
      </c>
      <c r="F73" s="31">
        <v>168.95</v>
      </c>
      <c r="G73" s="13">
        <v>12</v>
      </c>
      <c r="H73" s="31">
        <f t="shared" si="1"/>
        <v>2027.3999999999999</v>
      </c>
    </row>
    <row r="74" spans="1:8" x14ac:dyDescent="0.3">
      <c r="A74" s="9" t="s">
        <v>2</v>
      </c>
      <c r="B74" s="10" t="s">
        <v>24</v>
      </c>
      <c r="C74" s="11" t="s">
        <v>14</v>
      </c>
      <c r="D74" s="10" t="s">
        <v>21</v>
      </c>
      <c r="E74" s="12">
        <v>44147</v>
      </c>
      <c r="F74" s="31">
        <v>79.989999999999995</v>
      </c>
      <c r="G74" s="13">
        <v>13</v>
      </c>
      <c r="H74" s="31">
        <f t="shared" si="1"/>
        <v>1039.8699999999999</v>
      </c>
    </row>
    <row r="75" spans="1:8" x14ac:dyDescent="0.3">
      <c r="A75" s="9" t="s">
        <v>3</v>
      </c>
      <c r="B75" s="10" t="s">
        <v>24</v>
      </c>
      <c r="C75" s="11" t="s">
        <v>15</v>
      </c>
      <c r="D75" s="10" t="s">
        <v>18</v>
      </c>
      <c r="E75" s="12">
        <v>44107</v>
      </c>
      <c r="F75" s="31">
        <v>79.989999999999995</v>
      </c>
      <c r="G75" s="13">
        <v>20</v>
      </c>
      <c r="H75" s="31">
        <f t="shared" si="1"/>
        <v>1599.8</v>
      </c>
    </row>
    <row r="76" spans="1:8" x14ac:dyDescent="0.3">
      <c r="A76" s="9" t="s">
        <v>3</v>
      </c>
      <c r="B76" s="10" t="s">
        <v>27</v>
      </c>
      <c r="C76" s="11" t="s">
        <v>15</v>
      </c>
      <c r="D76" s="10" t="s">
        <v>20</v>
      </c>
      <c r="E76" s="12">
        <v>44083</v>
      </c>
      <c r="F76" s="31">
        <v>799.95</v>
      </c>
      <c r="G76" s="13">
        <v>4</v>
      </c>
      <c r="H76" s="31">
        <f t="shared" si="1"/>
        <v>3199.8</v>
      </c>
    </row>
    <row r="77" spans="1:8" x14ac:dyDescent="0.3">
      <c r="A77" s="17" t="s">
        <v>4</v>
      </c>
      <c r="B77" s="10" t="s">
        <v>25</v>
      </c>
      <c r="C77" s="11" t="s">
        <v>14</v>
      </c>
      <c r="D77" s="10" t="s">
        <v>19</v>
      </c>
      <c r="E77" s="12">
        <v>44016</v>
      </c>
      <c r="F77" s="31">
        <v>340.95</v>
      </c>
      <c r="G77" s="13">
        <v>14</v>
      </c>
      <c r="H77" s="31">
        <f t="shared" si="1"/>
        <v>4773.3</v>
      </c>
    </row>
    <row r="78" spans="1:8" x14ac:dyDescent="0.3">
      <c r="A78" s="17" t="s">
        <v>8</v>
      </c>
      <c r="B78" s="10" t="s">
        <v>23</v>
      </c>
      <c r="C78" s="11" t="s">
        <v>17</v>
      </c>
      <c r="D78" s="10" t="s">
        <v>22</v>
      </c>
      <c r="E78" s="12">
        <v>44552</v>
      </c>
      <c r="F78" s="31">
        <v>340.95</v>
      </c>
      <c r="G78" s="13">
        <v>12</v>
      </c>
      <c r="H78" s="31">
        <f t="shared" si="1"/>
        <v>4091.3999999999996</v>
      </c>
    </row>
    <row r="79" spans="1:8" x14ac:dyDescent="0.3">
      <c r="A79" s="17" t="s">
        <v>8</v>
      </c>
      <c r="B79" s="10" t="s">
        <v>25</v>
      </c>
      <c r="C79" s="11" t="s">
        <v>17</v>
      </c>
      <c r="D79" s="10" t="s">
        <v>20</v>
      </c>
      <c r="E79" s="12">
        <v>44112</v>
      </c>
      <c r="F79" s="31">
        <v>340.95</v>
      </c>
      <c r="G79" s="13">
        <v>7</v>
      </c>
      <c r="H79" s="31">
        <f t="shared" si="1"/>
        <v>2386.65</v>
      </c>
    </row>
    <row r="80" spans="1:8" x14ac:dyDescent="0.3">
      <c r="A80" s="9" t="s">
        <v>7</v>
      </c>
      <c r="B80" s="10" t="s">
        <v>27</v>
      </c>
      <c r="C80" s="11" t="s">
        <v>17</v>
      </c>
      <c r="D80" s="10" t="s">
        <v>19</v>
      </c>
      <c r="E80" s="12">
        <v>44025</v>
      </c>
      <c r="F80" s="31">
        <v>799.95</v>
      </c>
      <c r="G80" s="13">
        <v>3</v>
      </c>
      <c r="H80" s="31">
        <f t="shared" si="1"/>
        <v>2399.8500000000004</v>
      </c>
    </row>
    <row r="81" spans="1:8" x14ac:dyDescent="0.3">
      <c r="A81" s="9" t="s">
        <v>9</v>
      </c>
      <c r="B81" s="10" t="s">
        <v>23</v>
      </c>
      <c r="C81" s="11" t="s">
        <v>15</v>
      </c>
      <c r="D81" s="10" t="s">
        <v>18</v>
      </c>
      <c r="E81" s="12">
        <v>44049</v>
      </c>
      <c r="F81" s="31">
        <v>340.95</v>
      </c>
      <c r="G81" s="13">
        <v>7</v>
      </c>
      <c r="H81" s="31">
        <f t="shared" si="1"/>
        <v>2386.65</v>
      </c>
    </row>
    <row r="82" spans="1:8" x14ac:dyDescent="0.3">
      <c r="A82" s="17" t="s">
        <v>12</v>
      </c>
      <c r="B82" s="10" t="s">
        <v>26</v>
      </c>
      <c r="C82" s="11" t="s">
        <v>15</v>
      </c>
      <c r="D82" s="10" t="s">
        <v>22</v>
      </c>
      <c r="E82" s="12">
        <v>44154</v>
      </c>
      <c r="F82" s="31">
        <v>168.95</v>
      </c>
      <c r="G82" s="13">
        <v>5</v>
      </c>
      <c r="H82" s="31">
        <f t="shared" si="1"/>
        <v>844.75</v>
      </c>
    </row>
    <row r="83" spans="1:8" x14ac:dyDescent="0.3">
      <c r="A83" s="9" t="s">
        <v>2</v>
      </c>
      <c r="B83" s="10" t="s">
        <v>24</v>
      </c>
      <c r="C83" s="11" t="s">
        <v>14</v>
      </c>
      <c r="D83" s="10" t="s">
        <v>20</v>
      </c>
      <c r="E83" s="12">
        <v>44175</v>
      </c>
      <c r="F83" s="31">
        <v>79.989999999999995</v>
      </c>
      <c r="G83" s="13">
        <v>10</v>
      </c>
      <c r="H83" s="31">
        <f t="shared" si="1"/>
        <v>799.9</v>
      </c>
    </row>
    <row r="84" spans="1:8" x14ac:dyDescent="0.3">
      <c r="A84" s="17" t="s">
        <v>6</v>
      </c>
      <c r="B84" s="10" t="s">
        <v>27</v>
      </c>
      <c r="C84" s="11" t="s">
        <v>14</v>
      </c>
      <c r="D84" s="10" t="s">
        <v>19</v>
      </c>
      <c r="E84" s="12">
        <v>44434</v>
      </c>
      <c r="F84" s="31">
        <v>799.95</v>
      </c>
      <c r="G84" s="13">
        <v>10</v>
      </c>
      <c r="H84" s="31">
        <f t="shared" si="1"/>
        <v>7999.5</v>
      </c>
    </row>
    <row r="85" spans="1:8" x14ac:dyDescent="0.3">
      <c r="A85" s="9" t="s">
        <v>13</v>
      </c>
      <c r="B85" s="10" t="s">
        <v>27</v>
      </c>
      <c r="C85" s="11" t="s">
        <v>16</v>
      </c>
      <c r="D85" s="10" t="s">
        <v>18</v>
      </c>
      <c r="E85" s="12">
        <v>43937</v>
      </c>
      <c r="F85" s="31">
        <v>799.95</v>
      </c>
      <c r="G85" s="13">
        <v>7</v>
      </c>
      <c r="H85" s="31">
        <f t="shared" si="1"/>
        <v>5599.6500000000005</v>
      </c>
    </row>
    <row r="86" spans="1:8" x14ac:dyDescent="0.3">
      <c r="A86" s="9" t="s">
        <v>3</v>
      </c>
      <c r="B86" s="10" t="s">
        <v>24</v>
      </c>
      <c r="C86" s="11" t="s">
        <v>15</v>
      </c>
      <c r="D86" s="10" t="s">
        <v>20</v>
      </c>
      <c r="E86" s="12">
        <v>44423</v>
      </c>
      <c r="F86" s="31">
        <v>79.989999999999995</v>
      </c>
      <c r="G86" s="13">
        <v>8</v>
      </c>
      <c r="H86" s="31">
        <f t="shared" si="1"/>
        <v>639.91999999999996</v>
      </c>
    </row>
    <row r="87" spans="1:8" x14ac:dyDescent="0.3">
      <c r="A87" s="9" t="s">
        <v>2</v>
      </c>
      <c r="B87" s="10" t="s">
        <v>27</v>
      </c>
      <c r="C87" s="11" t="s">
        <v>14</v>
      </c>
      <c r="D87" s="10" t="s">
        <v>22</v>
      </c>
      <c r="E87" s="12">
        <v>44427</v>
      </c>
      <c r="F87" s="31">
        <v>799.95</v>
      </c>
      <c r="G87" s="13">
        <v>13</v>
      </c>
      <c r="H87" s="31">
        <f t="shared" si="1"/>
        <v>10399.35</v>
      </c>
    </row>
    <row r="88" spans="1:8" x14ac:dyDescent="0.3">
      <c r="A88" s="9" t="s">
        <v>9</v>
      </c>
      <c r="B88" s="10" t="s">
        <v>23</v>
      </c>
      <c r="C88" s="11" t="s">
        <v>15</v>
      </c>
      <c r="D88" s="10" t="s">
        <v>18</v>
      </c>
      <c r="E88" s="12">
        <v>44083</v>
      </c>
      <c r="F88" s="31">
        <v>340.95</v>
      </c>
      <c r="G88" s="13">
        <v>7</v>
      </c>
      <c r="H88" s="31">
        <f t="shared" si="1"/>
        <v>2386.65</v>
      </c>
    </row>
    <row r="89" spans="1:8" x14ac:dyDescent="0.3">
      <c r="A89" s="9" t="s">
        <v>2</v>
      </c>
      <c r="B89" s="10" t="s">
        <v>24</v>
      </c>
      <c r="C89" s="11" t="s">
        <v>14</v>
      </c>
      <c r="D89" s="10" t="s">
        <v>21</v>
      </c>
      <c r="E89" s="12">
        <v>43979</v>
      </c>
      <c r="F89" s="31">
        <v>79.989999999999995</v>
      </c>
      <c r="G89" s="13">
        <v>1</v>
      </c>
      <c r="H89" s="31">
        <f t="shared" si="1"/>
        <v>79.989999999999995</v>
      </c>
    </row>
    <row r="90" spans="1:8" x14ac:dyDescent="0.3">
      <c r="A90" s="17" t="s">
        <v>8</v>
      </c>
      <c r="B90" s="10" t="s">
        <v>25</v>
      </c>
      <c r="C90" s="11" t="s">
        <v>17</v>
      </c>
      <c r="D90" s="10" t="s">
        <v>19</v>
      </c>
      <c r="E90" s="12">
        <v>44515</v>
      </c>
      <c r="F90" s="31">
        <v>340.95</v>
      </c>
      <c r="G90" s="13">
        <v>13</v>
      </c>
      <c r="H90" s="31">
        <f t="shared" si="1"/>
        <v>4432.3499999999995</v>
      </c>
    </row>
    <row r="91" spans="1:8" x14ac:dyDescent="0.3">
      <c r="A91" s="9" t="s">
        <v>7</v>
      </c>
      <c r="B91" s="10" t="s">
        <v>25</v>
      </c>
      <c r="C91" s="11" t="s">
        <v>17</v>
      </c>
      <c r="D91" s="10" t="s">
        <v>18</v>
      </c>
      <c r="E91" s="12">
        <v>44386</v>
      </c>
      <c r="F91" s="31">
        <v>340.95</v>
      </c>
      <c r="G91" s="13">
        <v>6</v>
      </c>
      <c r="H91" s="31">
        <f t="shared" si="1"/>
        <v>2045.6999999999998</v>
      </c>
    </row>
    <row r="92" spans="1:8" x14ac:dyDescent="0.3">
      <c r="A92" s="17" t="s">
        <v>6</v>
      </c>
      <c r="B92" s="10" t="s">
        <v>27</v>
      </c>
      <c r="C92" s="11" t="s">
        <v>14</v>
      </c>
      <c r="D92" s="10" t="s">
        <v>18</v>
      </c>
      <c r="E92" s="12">
        <v>44519</v>
      </c>
      <c r="F92" s="31">
        <v>799.95</v>
      </c>
      <c r="G92" s="13">
        <v>19</v>
      </c>
      <c r="H92" s="31">
        <f t="shared" si="1"/>
        <v>15199.050000000001</v>
      </c>
    </row>
    <row r="93" spans="1:8" x14ac:dyDescent="0.3">
      <c r="A93" s="9" t="s">
        <v>7</v>
      </c>
      <c r="B93" s="10" t="s">
        <v>25</v>
      </c>
      <c r="C93" s="11" t="s">
        <v>17</v>
      </c>
      <c r="D93" s="10" t="s">
        <v>18</v>
      </c>
      <c r="E93" s="12">
        <v>44554</v>
      </c>
      <c r="F93" s="31">
        <v>340.95</v>
      </c>
      <c r="G93" s="13">
        <v>18</v>
      </c>
      <c r="H93" s="31">
        <f t="shared" si="1"/>
        <v>6137.0999999999995</v>
      </c>
    </row>
    <row r="94" spans="1:8" x14ac:dyDescent="0.3">
      <c r="A94" s="17" t="s">
        <v>11</v>
      </c>
      <c r="B94" s="10" t="s">
        <v>26</v>
      </c>
      <c r="C94" s="11" t="s">
        <v>14</v>
      </c>
      <c r="D94" s="10" t="s">
        <v>18</v>
      </c>
      <c r="E94" s="12">
        <v>43979</v>
      </c>
      <c r="F94" s="31">
        <v>168.95</v>
      </c>
      <c r="G94" s="13">
        <v>6</v>
      </c>
      <c r="H94" s="31">
        <f t="shared" si="1"/>
        <v>1013.6999999999999</v>
      </c>
    </row>
    <row r="95" spans="1:8" x14ac:dyDescent="0.3">
      <c r="A95" s="17" t="s">
        <v>6</v>
      </c>
      <c r="B95" s="10" t="s">
        <v>25</v>
      </c>
      <c r="C95" s="11" t="s">
        <v>14</v>
      </c>
      <c r="D95" s="10" t="s">
        <v>18</v>
      </c>
      <c r="E95" s="12">
        <v>44547</v>
      </c>
      <c r="F95" s="31">
        <v>340.95</v>
      </c>
      <c r="G95" s="13">
        <v>8</v>
      </c>
      <c r="H95" s="31">
        <f t="shared" si="1"/>
        <v>2727.6</v>
      </c>
    </row>
    <row r="96" spans="1:8" x14ac:dyDescent="0.3">
      <c r="A96" s="17" t="s">
        <v>6</v>
      </c>
      <c r="B96" s="10" t="s">
        <v>23</v>
      </c>
      <c r="C96" s="11" t="s">
        <v>14</v>
      </c>
      <c r="D96" s="10" t="s">
        <v>21</v>
      </c>
      <c r="E96" s="12">
        <v>44532</v>
      </c>
      <c r="F96" s="31">
        <v>340.95</v>
      </c>
      <c r="G96" s="13">
        <v>9</v>
      </c>
      <c r="H96" s="31">
        <f t="shared" si="1"/>
        <v>3068.5499999999997</v>
      </c>
    </row>
    <row r="97" spans="1:8" x14ac:dyDescent="0.3">
      <c r="A97" s="17" t="s">
        <v>11</v>
      </c>
      <c r="B97" s="10" t="s">
        <v>23</v>
      </c>
      <c r="C97" s="11" t="s">
        <v>14</v>
      </c>
      <c r="D97" s="10" t="s">
        <v>20</v>
      </c>
      <c r="E97" s="12">
        <v>44158</v>
      </c>
      <c r="F97" s="31">
        <v>340.95</v>
      </c>
      <c r="G97" s="13">
        <v>15</v>
      </c>
      <c r="H97" s="31">
        <f t="shared" si="1"/>
        <v>5114.25</v>
      </c>
    </row>
    <row r="98" spans="1:8" x14ac:dyDescent="0.3">
      <c r="A98" s="17" t="s">
        <v>8</v>
      </c>
      <c r="B98" s="10" t="s">
        <v>26</v>
      </c>
      <c r="C98" s="11" t="s">
        <v>17</v>
      </c>
      <c r="D98" s="10" t="s">
        <v>22</v>
      </c>
      <c r="E98" s="12">
        <v>44108</v>
      </c>
      <c r="F98" s="31">
        <v>168.95</v>
      </c>
      <c r="G98" s="13">
        <v>6</v>
      </c>
      <c r="H98" s="31">
        <f t="shared" si="1"/>
        <v>1013.6999999999999</v>
      </c>
    </row>
    <row r="99" spans="1:8" x14ac:dyDescent="0.3">
      <c r="A99" s="9" t="s">
        <v>7</v>
      </c>
      <c r="B99" s="10" t="s">
        <v>25</v>
      </c>
      <c r="C99" s="11" t="s">
        <v>17</v>
      </c>
      <c r="D99" s="10" t="s">
        <v>19</v>
      </c>
      <c r="E99" s="12">
        <v>44129</v>
      </c>
      <c r="F99" s="31">
        <v>340.95</v>
      </c>
      <c r="G99" s="13">
        <v>5</v>
      </c>
      <c r="H99" s="31">
        <f t="shared" si="1"/>
        <v>1704.75</v>
      </c>
    </row>
    <row r="100" spans="1:8" x14ac:dyDescent="0.3">
      <c r="A100" s="17" t="s">
        <v>10</v>
      </c>
      <c r="B100" s="10" t="s">
        <v>26</v>
      </c>
      <c r="C100" s="11" t="s">
        <v>16</v>
      </c>
      <c r="D100" s="10" t="s">
        <v>20</v>
      </c>
      <c r="E100" s="12">
        <v>44063</v>
      </c>
      <c r="F100" s="31">
        <v>168.95</v>
      </c>
      <c r="G100" s="13">
        <v>8</v>
      </c>
      <c r="H100" s="31">
        <f t="shared" si="1"/>
        <v>1351.6</v>
      </c>
    </row>
    <row r="101" spans="1:8" x14ac:dyDescent="0.3">
      <c r="A101" s="17" t="s">
        <v>8</v>
      </c>
      <c r="B101" s="10" t="s">
        <v>24</v>
      </c>
      <c r="C101" s="11" t="s">
        <v>17</v>
      </c>
      <c r="D101" s="10" t="s">
        <v>22</v>
      </c>
      <c r="E101" s="12">
        <v>43866</v>
      </c>
      <c r="F101" s="31">
        <v>79.989999999999995</v>
      </c>
      <c r="G101" s="13">
        <v>10</v>
      </c>
      <c r="H101" s="31">
        <f t="shared" si="1"/>
        <v>799.9</v>
      </c>
    </row>
    <row r="102" spans="1:8" x14ac:dyDescent="0.3">
      <c r="A102" s="9" t="s">
        <v>3</v>
      </c>
      <c r="B102" s="10" t="s">
        <v>26</v>
      </c>
      <c r="C102" s="11" t="s">
        <v>15</v>
      </c>
      <c r="D102" s="10" t="s">
        <v>18</v>
      </c>
      <c r="E102" s="12">
        <v>43873</v>
      </c>
      <c r="F102" s="31">
        <v>168.95</v>
      </c>
      <c r="G102" s="13">
        <v>13</v>
      </c>
      <c r="H102" s="31">
        <f t="shared" si="1"/>
        <v>2196.35</v>
      </c>
    </row>
    <row r="103" spans="1:8" x14ac:dyDescent="0.3">
      <c r="A103" s="17" t="s">
        <v>6</v>
      </c>
      <c r="B103" s="10" t="s">
        <v>27</v>
      </c>
      <c r="C103" s="11" t="s">
        <v>14</v>
      </c>
      <c r="D103" s="10" t="s">
        <v>19</v>
      </c>
      <c r="E103" s="12">
        <v>44350</v>
      </c>
      <c r="F103" s="31">
        <v>799.95</v>
      </c>
      <c r="G103" s="13">
        <v>10</v>
      </c>
      <c r="H103" s="31">
        <f t="shared" si="1"/>
        <v>7999.5</v>
      </c>
    </row>
    <row r="104" spans="1:8" x14ac:dyDescent="0.3">
      <c r="A104" s="9" t="s">
        <v>3</v>
      </c>
      <c r="B104" s="10" t="s">
        <v>27</v>
      </c>
      <c r="C104" s="11" t="s">
        <v>15</v>
      </c>
      <c r="D104" s="10" t="s">
        <v>21</v>
      </c>
      <c r="E104" s="12">
        <v>44067</v>
      </c>
      <c r="F104" s="31">
        <v>799.95</v>
      </c>
      <c r="G104" s="13">
        <v>4</v>
      </c>
      <c r="H104" s="31">
        <f t="shared" si="1"/>
        <v>3199.8</v>
      </c>
    </row>
    <row r="105" spans="1:8" x14ac:dyDescent="0.3">
      <c r="A105" s="9" t="s">
        <v>2</v>
      </c>
      <c r="B105" s="10" t="s">
        <v>23</v>
      </c>
      <c r="C105" s="11" t="s">
        <v>14</v>
      </c>
      <c r="D105" s="10" t="s">
        <v>22</v>
      </c>
      <c r="E105" s="12">
        <v>43930</v>
      </c>
      <c r="F105" s="31">
        <v>340.95</v>
      </c>
      <c r="G105" s="13">
        <v>11</v>
      </c>
      <c r="H105" s="31">
        <f t="shared" si="1"/>
        <v>3750.45</v>
      </c>
    </row>
    <row r="106" spans="1:8" x14ac:dyDescent="0.3">
      <c r="A106" s="17" t="s">
        <v>8</v>
      </c>
      <c r="B106" s="10" t="s">
        <v>26</v>
      </c>
      <c r="C106" s="11" t="s">
        <v>17</v>
      </c>
      <c r="D106" s="10" t="s">
        <v>18</v>
      </c>
      <c r="E106" s="12">
        <v>44543</v>
      </c>
      <c r="F106" s="31">
        <v>168.95</v>
      </c>
      <c r="G106" s="13">
        <v>6</v>
      </c>
      <c r="H106" s="31">
        <f t="shared" si="1"/>
        <v>1013.6999999999999</v>
      </c>
    </row>
    <row r="107" spans="1:8" x14ac:dyDescent="0.3">
      <c r="A107" s="9" t="s">
        <v>3</v>
      </c>
      <c r="B107" s="10" t="s">
        <v>24</v>
      </c>
      <c r="C107" s="11" t="s">
        <v>15</v>
      </c>
      <c r="D107" s="10" t="s">
        <v>21</v>
      </c>
      <c r="E107" s="12">
        <v>43908</v>
      </c>
      <c r="F107" s="31">
        <v>79.989999999999995</v>
      </c>
      <c r="G107" s="13">
        <v>9</v>
      </c>
      <c r="H107" s="31">
        <f t="shared" si="1"/>
        <v>719.91</v>
      </c>
    </row>
    <row r="108" spans="1:8" x14ac:dyDescent="0.3">
      <c r="A108" s="17" t="s">
        <v>11</v>
      </c>
      <c r="B108" s="10" t="s">
        <v>26</v>
      </c>
      <c r="C108" s="11" t="s">
        <v>14</v>
      </c>
      <c r="D108" s="10" t="s">
        <v>21</v>
      </c>
      <c r="E108" s="12">
        <v>44000</v>
      </c>
      <c r="F108" s="31">
        <v>168.95</v>
      </c>
      <c r="G108" s="13">
        <v>6</v>
      </c>
      <c r="H108" s="31">
        <f t="shared" si="1"/>
        <v>1013.6999999999999</v>
      </c>
    </row>
    <row r="109" spans="1:8" x14ac:dyDescent="0.3">
      <c r="A109" s="9" t="s">
        <v>5</v>
      </c>
      <c r="B109" s="10" t="s">
        <v>25</v>
      </c>
      <c r="C109" s="11" t="s">
        <v>16</v>
      </c>
      <c r="D109" s="10" t="s">
        <v>19</v>
      </c>
      <c r="E109" s="12">
        <v>44060</v>
      </c>
      <c r="F109" s="31">
        <v>340.95</v>
      </c>
      <c r="G109" s="13">
        <v>15</v>
      </c>
      <c r="H109" s="31">
        <f t="shared" si="1"/>
        <v>5114.25</v>
      </c>
    </row>
    <row r="110" spans="1:8" x14ac:dyDescent="0.3">
      <c r="A110" s="9" t="s">
        <v>13</v>
      </c>
      <c r="B110" s="10" t="s">
        <v>26</v>
      </c>
      <c r="C110" s="11" t="s">
        <v>16</v>
      </c>
      <c r="D110" s="10" t="s">
        <v>19</v>
      </c>
      <c r="E110" s="12">
        <v>44223</v>
      </c>
      <c r="F110" s="31">
        <v>168.95</v>
      </c>
      <c r="G110" s="13">
        <v>11</v>
      </c>
      <c r="H110" s="31">
        <f t="shared" si="1"/>
        <v>1858.4499999999998</v>
      </c>
    </row>
    <row r="111" spans="1:8" x14ac:dyDescent="0.3">
      <c r="A111" s="9" t="s">
        <v>13</v>
      </c>
      <c r="B111" s="10" t="s">
        <v>25</v>
      </c>
      <c r="C111" s="11" t="s">
        <v>16</v>
      </c>
      <c r="D111" s="10" t="s">
        <v>20</v>
      </c>
      <c r="E111" s="12">
        <v>44232</v>
      </c>
      <c r="F111" s="31">
        <v>340.95</v>
      </c>
      <c r="G111" s="13">
        <v>9</v>
      </c>
      <c r="H111" s="31">
        <f t="shared" si="1"/>
        <v>3068.5499999999997</v>
      </c>
    </row>
    <row r="112" spans="1:8" x14ac:dyDescent="0.3">
      <c r="A112" s="17" t="s">
        <v>10</v>
      </c>
      <c r="B112" s="10" t="s">
        <v>27</v>
      </c>
      <c r="C112" s="11" t="s">
        <v>16</v>
      </c>
      <c r="D112" s="10" t="s">
        <v>20</v>
      </c>
      <c r="E112" s="12">
        <v>44160</v>
      </c>
      <c r="F112" s="31">
        <v>799.95</v>
      </c>
      <c r="G112" s="13">
        <v>2</v>
      </c>
      <c r="H112" s="31">
        <f t="shared" si="1"/>
        <v>1599.9</v>
      </c>
    </row>
    <row r="113" spans="1:8" x14ac:dyDescent="0.3">
      <c r="A113" s="9" t="s">
        <v>13</v>
      </c>
      <c r="B113" s="10" t="s">
        <v>25</v>
      </c>
      <c r="C113" s="11" t="s">
        <v>16</v>
      </c>
      <c r="D113" s="10" t="s">
        <v>18</v>
      </c>
      <c r="E113" s="12">
        <v>44163</v>
      </c>
      <c r="F113" s="31">
        <v>340.95</v>
      </c>
      <c r="G113" s="13">
        <v>14</v>
      </c>
      <c r="H113" s="31">
        <f t="shared" si="1"/>
        <v>4773.3</v>
      </c>
    </row>
    <row r="114" spans="1:8" x14ac:dyDescent="0.3">
      <c r="A114" s="17" t="s">
        <v>6</v>
      </c>
      <c r="B114" s="10" t="s">
        <v>26</v>
      </c>
      <c r="C114" s="11" t="s">
        <v>14</v>
      </c>
      <c r="D114" s="10" t="s">
        <v>21</v>
      </c>
      <c r="E114" s="12">
        <v>44238</v>
      </c>
      <c r="F114" s="31">
        <v>168.95</v>
      </c>
      <c r="G114" s="13">
        <v>14</v>
      </c>
      <c r="H114" s="31">
        <f t="shared" si="1"/>
        <v>2365.2999999999997</v>
      </c>
    </row>
    <row r="115" spans="1:8" x14ac:dyDescent="0.3">
      <c r="A115" s="17" t="s">
        <v>6</v>
      </c>
      <c r="B115" s="10" t="s">
        <v>26</v>
      </c>
      <c r="C115" s="11" t="s">
        <v>14</v>
      </c>
      <c r="D115" s="10" t="s">
        <v>21</v>
      </c>
      <c r="E115" s="12">
        <v>44308</v>
      </c>
      <c r="F115" s="31">
        <v>168.95</v>
      </c>
      <c r="G115" s="13">
        <v>1</v>
      </c>
      <c r="H115" s="31">
        <f t="shared" si="1"/>
        <v>168.95</v>
      </c>
    </row>
    <row r="116" spans="1:8" x14ac:dyDescent="0.3">
      <c r="A116" s="9" t="s">
        <v>13</v>
      </c>
      <c r="B116" s="10" t="s">
        <v>26</v>
      </c>
      <c r="C116" s="11" t="s">
        <v>16</v>
      </c>
      <c r="D116" s="10" t="s">
        <v>22</v>
      </c>
      <c r="E116" s="12">
        <v>44143</v>
      </c>
      <c r="F116" s="31">
        <v>168.95</v>
      </c>
      <c r="G116" s="13">
        <v>11</v>
      </c>
      <c r="H116" s="31">
        <f t="shared" si="1"/>
        <v>1858.4499999999998</v>
      </c>
    </row>
    <row r="117" spans="1:8" x14ac:dyDescent="0.3">
      <c r="A117" s="17" t="s">
        <v>11</v>
      </c>
      <c r="B117" s="10" t="s">
        <v>26</v>
      </c>
      <c r="C117" s="11" t="s">
        <v>14</v>
      </c>
      <c r="D117" s="10" t="s">
        <v>18</v>
      </c>
      <c r="E117" s="12">
        <v>44147</v>
      </c>
      <c r="F117" s="31">
        <v>168.95</v>
      </c>
      <c r="G117" s="13">
        <v>11</v>
      </c>
      <c r="H117" s="31">
        <f t="shared" si="1"/>
        <v>1858.4499999999998</v>
      </c>
    </row>
    <row r="118" spans="1:8" x14ac:dyDescent="0.3">
      <c r="A118" s="9" t="s">
        <v>7</v>
      </c>
      <c r="B118" s="10" t="s">
        <v>25</v>
      </c>
      <c r="C118" s="11" t="s">
        <v>17</v>
      </c>
      <c r="D118" s="10" t="s">
        <v>19</v>
      </c>
      <c r="E118" s="12">
        <v>44294</v>
      </c>
      <c r="F118" s="31">
        <v>340.95</v>
      </c>
      <c r="G118" s="13">
        <v>10</v>
      </c>
      <c r="H118" s="31">
        <f t="shared" si="1"/>
        <v>3409.5</v>
      </c>
    </row>
    <row r="119" spans="1:8" x14ac:dyDescent="0.3">
      <c r="A119" s="17" t="s">
        <v>12</v>
      </c>
      <c r="B119" s="10" t="s">
        <v>26</v>
      </c>
      <c r="C119" s="11" t="s">
        <v>15</v>
      </c>
      <c r="D119" s="10" t="s">
        <v>22</v>
      </c>
      <c r="E119" s="12">
        <v>44126</v>
      </c>
      <c r="F119" s="31">
        <v>168.95</v>
      </c>
      <c r="G119" s="13">
        <v>2</v>
      </c>
      <c r="H119" s="31">
        <f t="shared" si="1"/>
        <v>337.9</v>
      </c>
    </row>
    <row r="120" spans="1:8" x14ac:dyDescent="0.3">
      <c r="A120" s="17" t="s">
        <v>8</v>
      </c>
      <c r="B120" s="10" t="s">
        <v>24</v>
      </c>
      <c r="C120" s="11" t="s">
        <v>17</v>
      </c>
      <c r="D120" s="10" t="s">
        <v>19</v>
      </c>
      <c r="E120" s="12">
        <v>44511</v>
      </c>
      <c r="F120" s="31">
        <v>79.989999999999995</v>
      </c>
      <c r="G120" s="13">
        <v>1</v>
      </c>
      <c r="H120" s="31">
        <f t="shared" si="1"/>
        <v>79.989999999999995</v>
      </c>
    </row>
    <row r="121" spans="1:8" x14ac:dyDescent="0.3">
      <c r="A121" s="9" t="s">
        <v>3</v>
      </c>
      <c r="B121" s="10" t="s">
        <v>27</v>
      </c>
      <c r="C121" s="11" t="s">
        <v>15</v>
      </c>
      <c r="D121" s="10" t="s">
        <v>21</v>
      </c>
      <c r="E121" s="12">
        <v>44366</v>
      </c>
      <c r="F121" s="31">
        <v>799.95</v>
      </c>
      <c r="G121" s="13">
        <v>1</v>
      </c>
      <c r="H121" s="31">
        <f t="shared" si="1"/>
        <v>799.95</v>
      </c>
    </row>
    <row r="122" spans="1:8" x14ac:dyDescent="0.3">
      <c r="A122" s="9" t="s">
        <v>3</v>
      </c>
      <c r="B122" s="10" t="s">
        <v>27</v>
      </c>
      <c r="C122" s="11" t="s">
        <v>15</v>
      </c>
      <c r="D122" s="10" t="s">
        <v>18</v>
      </c>
      <c r="E122" s="12">
        <v>44001</v>
      </c>
      <c r="F122" s="31">
        <v>799.95</v>
      </c>
      <c r="G122" s="13">
        <v>19</v>
      </c>
      <c r="H122" s="31">
        <f t="shared" si="1"/>
        <v>15199.050000000001</v>
      </c>
    </row>
    <row r="123" spans="1:8" x14ac:dyDescent="0.3">
      <c r="A123" s="9" t="s">
        <v>2</v>
      </c>
      <c r="B123" s="10" t="s">
        <v>27</v>
      </c>
      <c r="C123" s="11" t="s">
        <v>14</v>
      </c>
      <c r="D123" s="10" t="s">
        <v>22</v>
      </c>
      <c r="E123" s="12">
        <v>44093</v>
      </c>
      <c r="F123" s="31">
        <v>799.95</v>
      </c>
      <c r="G123" s="13">
        <v>13</v>
      </c>
      <c r="H123" s="31">
        <f t="shared" si="1"/>
        <v>10399.35</v>
      </c>
    </row>
    <row r="124" spans="1:8" x14ac:dyDescent="0.3">
      <c r="A124" s="9" t="s">
        <v>2</v>
      </c>
      <c r="B124" s="10" t="s">
        <v>23</v>
      </c>
      <c r="C124" s="11" t="s">
        <v>14</v>
      </c>
      <c r="D124" s="10" t="s">
        <v>22</v>
      </c>
      <c r="E124" s="12">
        <v>44413</v>
      </c>
      <c r="F124" s="31">
        <v>340.95</v>
      </c>
      <c r="G124" s="13">
        <v>10</v>
      </c>
      <c r="H124" s="31">
        <f t="shared" si="1"/>
        <v>3409.5</v>
      </c>
    </row>
    <row r="125" spans="1:8" x14ac:dyDescent="0.3">
      <c r="A125" s="17" t="s">
        <v>4</v>
      </c>
      <c r="B125" s="10" t="s">
        <v>23</v>
      </c>
      <c r="C125" s="11" t="s">
        <v>14</v>
      </c>
      <c r="D125" s="10" t="s">
        <v>18</v>
      </c>
      <c r="E125" s="12">
        <v>44064</v>
      </c>
      <c r="F125" s="31">
        <v>340.95</v>
      </c>
      <c r="G125" s="13">
        <v>6</v>
      </c>
      <c r="H125" s="31">
        <f t="shared" si="1"/>
        <v>2045.6999999999998</v>
      </c>
    </row>
    <row r="126" spans="1:8" x14ac:dyDescent="0.3">
      <c r="A126" s="9" t="s">
        <v>13</v>
      </c>
      <c r="B126" s="10" t="s">
        <v>24</v>
      </c>
      <c r="C126" s="11" t="s">
        <v>16</v>
      </c>
      <c r="D126" s="10" t="s">
        <v>22</v>
      </c>
      <c r="E126" s="12">
        <v>44077</v>
      </c>
      <c r="F126" s="31">
        <v>79.989999999999995</v>
      </c>
      <c r="G126" s="13">
        <v>2</v>
      </c>
      <c r="H126" s="31">
        <f t="shared" si="1"/>
        <v>159.97999999999999</v>
      </c>
    </row>
    <row r="127" spans="1:8" x14ac:dyDescent="0.3">
      <c r="A127" s="9" t="s">
        <v>3</v>
      </c>
      <c r="B127" s="10" t="s">
        <v>26</v>
      </c>
      <c r="C127" s="11" t="s">
        <v>15</v>
      </c>
      <c r="D127" s="10" t="s">
        <v>18</v>
      </c>
      <c r="E127" s="12">
        <v>44230</v>
      </c>
      <c r="F127" s="31">
        <v>168.95</v>
      </c>
      <c r="G127" s="13">
        <v>13</v>
      </c>
      <c r="H127" s="31">
        <f t="shared" si="1"/>
        <v>2196.35</v>
      </c>
    </row>
    <row r="128" spans="1:8" x14ac:dyDescent="0.3">
      <c r="A128" s="17" t="s">
        <v>4</v>
      </c>
      <c r="B128" s="10" t="s">
        <v>27</v>
      </c>
      <c r="C128" s="11" t="s">
        <v>14</v>
      </c>
      <c r="D128" s="10" t="s">
        <v>22</v>
      </c>
      <c r="E128" s="12">
        <v>44091</v>
      </c>
      <c r="F128" s="31">
        <v>799.95</v>
      </c>
      <c r="G128" s="13">
        <v>10</v>
      </c>
      <c r="H128" s="31">
        <f t="shared" si="1"/>
        <v>7999.5</v>
      </c>
    </row>
    <row r="129" spans="1:8" x14ac:dyDescent="0.3">
      <c r="A129" s="17" t="s">
        <v>6</v>
      </c>
      <c r="B129" s="10" t="s">
        <v>25</v>
      </c>
      <c r="C129" s="11" t="s">
        <v>14</v>
      </c>
      <c r="D129" s="10" t="s">
        <v>21</v>
      </c>
      <c r="E129" s="12">
        <v>44448</v>
      </c>
      <c r="F129" s="31">
        <v>340.95</v>
      </c>
      <c r="G129" s="13">
        <v>9</v>
      </c>
      <c r="H129" s="31">
        <f t="shared" si="1"/>
        <v>3068.5499999999997</v>
      </c>
    </row>
    <row r="130" spans="1:8" x14ac:dyDescent="0.3">
      <c r="A130" s="9" t="s">
        <v>3</v>
      </c>
      <c r="B130" s="10" t="s">
        <v>26</v>
      </c>
      <c r="C130" s="11" t="s">
        <v>15</v>
      </c>
      <c r="D130" s="10" t="s">
        <v>22</v>
      </c>
      <c r="E130" s="12">
        <v>44112</v>
      </c>
      <c r="F130" s="31">
        <v>168.95</v>
      </c>
      <c r="G130" s="13">
        <v>4</v>
      </c>
      <c r="H130" s="31">
        <f t="shared" ref="H130:H193" si="2">F130*G130</f>
        <v>675.8</v>
      </c>
    </row>
    <row r="131" spans="1:8" x14ac:dyDescent="0.3">
      <c r="A131" s="9" t="s">
        <v>9</v>
      </c>
      <c r="B131" s="10" t="s">
        <v>27</v>
      </c>
      <c r="C131" s="11" t="s">
        <v>15</v>
      </c>
      <c r="D131" s="10" t="s">
        <v>20</v>
      </c>
      <c r="E131" s="12">
        <v>44041</v>
      </c>
      <c r="F131" s="31">
        <v>799.95</v>
      </c>
      <c r="G131" s="13">
        <v>9</v>
      </c>
      <c r="H131" s="31">
        <f t="shared" si="2"/>
        <v>7199.55</v>
      </c>
    </row>
    <row r="132" spans="1:8" x14ac:dyDescent="0.3">
      <c r="A132" s="9" t="s">
        <v>5</v>
      </c>
      <c r="B132" s="10" t="s">
        <v>23</v>
      </c>
      <c r="C132" s="11" t="s">
        <v>15</v>
      </c>
      <c r="D132" s="10" t="s">
        <v>22</v>
      </c>
      <c r="E132" s="12">
        <v>44120</v>
      </c>
      <c r="F132" s="31">
        <v>340.95</v>
      </c>
      <c r="G132" s="13">
        <v>3</v>
      </c>
      <c r="H132" s="31">
        <f t="shared" si="2"/>
        <v>1022.8499999999999</v>
      </c>
    </row>
    <row r="133" spans="1:8" x14ac:dyDescent="0.3">
      <c r="A133" s="17" t="s">
        <v>10</v>
      </c>
      <c r="B133" s="10" t="s">
        <v>26</v>
      </c>
      <c r="C133" s="11" t="s">
        <v>16</v>
      </c>
      <c r="D133" s="10" t="s">
        <v>19</v>
      </c>
      <c r="E133" s="12">
        <v>44165</v>
      </c>
      <c r="F133" s="31">
        <v>168.95</v>
      </c>
      <c r="G133" s="13">
        <v>14</v>
      </c>
      <c r="H133" s="31">
        <f t="shared" si="2"/>
        <v>2365.2999999999997</v>
      </c>
    </row>
    <row r="134" spans="1:8" x14ac:dyDescent="0.3">
      <c r="A134" s="17" t="s">
        <v>12</v>
      </c>
      <c r="B134" s="10" t="s">
        <v>26</v>
      </c>
      <c r="C134" s="11" t="s">
        <v>15</v>
      </c>
      <c r="D134" s="10" t="s">
        <v>18</v>
      </c>
      <c r="E134" s="12">
        <v>44244</v>
      </c>
      <c r="F134" s="31">
        <v>168.95</v>
      </c>
      <c r="G134" s="13">
        <v>14</v>
      </c>
      <c r="H134" s="31">
        <f t="shared" si="2"/>
        <v>2365.2999999999997</v>
      </c>
    </row>
    <row r="135" spans="1:8" x14ac:dyDescent="0.3">
      <c r="A135" s="9" t="s">
        <v>13</v>
      </c>
      <c r="B135" s="10" t="s">
        <v>27</v>
      </c>
      <c r="C135" s="11" t="s">
        <v>16</v>
      </c>
      <c r="D135" s="10" t="s">
        <v>18</v>
      </c>
      <c r="E135" s="12">
        <v>44372</v>
      </c>
      <c r="F135" s="31">
        <v>799.95</v>
      </c>
      <c r="G135" s="13">
        <v>16</v>
      </c>
      <c r="H135" s="31">
        <f t="shared" si="2"/>
        <v>12799.2</v>
      </c>
    </row>
    <row r="136" spans="1:8" x14ac:dyDescent="0.3">
      <c r="A136" s="9" t="s">
        <v>5</v>
      </c>
      <c r="B136" s="10" t="s">
        <v>25</v>
      </c>
      <c r="C136" s="11" t="s">
        <v>16</v>
      </c>
      <c r="D136" s="10" t="s">
        <v>18</v>
      </c>
      <c r="E136" s="12">
        <v>44164</v>
      </c>
      <c r="F136" s="31">
        <v>340.95</v>
      </c>
      <c r="G136" s="13">
        <v>17</v>
      </c>
      <c r="H136" s="31">
        <f t="shared" si="2"/>
        <v>5796.15</v>
      </c>
    </row>
    <row r="137" spans="1:8" x14ac:dyDescent="0.3">
      <c r="A137" s="17" t="s">
        <v>4</v>
      </c>
      <c r="B137" s="10" t="s">
        <v>23</v>
      </c>
      <c r="C137" s="11" t="s">
        <v>14</v>
      </c>
      <c r="D137" s="10" t="s">
        <v>21</v>
      </c>
      <c r="E137" s="12">
        <v>44246</v>
      </c>
      <c r="F137" s="31">
        <v>340.95</v>
      </c>
      <c r="G137" s="13">
        <v>7</v>
      </c>
      <c r="H137" s="31">
        <f t="shared" si="2"/>
        <v>2386.65</v>
      </c>
    </row>
    <row r="138" spans="1:8" x14ac:dyDescent="0.3">
      <c r="A138" s="17" t="s">
        <v>4</v>
      </c>
      <c r="B138" s="10" t="s">
        <v>25</v>
      </c>
      <c r="C138" s="11" t="s">
        <v>14</v>
      </c>
      <c r="D138" s="10" t="s">
        <v>20</v>
      </c>
      <c r="E138" s="12">
        <v>44115</v>
      </c>
      <c r="F138" s="31">
        <v>340.95</v>
      </c>
      <c r="G138" s="13">
        <v>12</v>
      </c>
      <c r="H138" s="31">
        <f t="shared" si="2"/>
        <v>4091.3999999999996</v>
      </c>
    </row>
    <row r="139" spans="1:8" x14ac:dyDescent="0.3">
      <c r="A139" s="17" t="s">
        <v>4</v>
      </c>
      <c r="B139" s="10" t="s">
        <v>24</v>
      </c>
      <c r="C139" s="11" t="s">
        <v>14</v>
      </c>
      <c r="D139" s="10" t="s">
        <v>21</v>
      </c>
      <c r="E139" s="12">
        <v>44553</v>
      </c>
      <c r="F139" s="31">
        <v>79.989999999999995</v>
      </c>
      <c r="G139" s="13">
        <v>7</v>
      </c>
      <c r="H139" s="31">
        <f t="shared" si="2"/>
        <v>559.92999999999995</v>
      </c>
    </row>
    <row r="140" spans="1:8" x14ac:dyDescent="0.3">
      <c r="A140" s="9" t="s">
        <v>7</v>
      </c>
      <c r="B140" s="10" t="s">
        <v>25</v>
      </c>
      <c r="C140" s="11" t="s">
        <v>17</v>
      </c>
      <c r="D140" s="10" t="s">
        <v>18</v>
      </c>
      <c r="E140" s="12">
        <v>44506</v>
      </c>
      <c r="F140" s="31">
        <v>340.95</v>
      </c>
      <c r="G140" s="13">
        <v>17</v>
      </c>
      <c r="H140" s="31">
        <f t="shared" si="2"/>
        <v>5796.15</v>
      </c>
    </row>
    <row r="141" spans="1:8" x14ac:dyDescent="0.3">
      <c r="A141" s="9" t="s">
        <v>2</v>
      </c>
      <c r="B141" s="10" t="s">
        <v>24</v>
      </c>
      <c r="C141" s="11" t="s">
        <v>14</v>
      </c>
      <c r="D141" s="10" t="s">
        <v>21</v>
      </c>
      <c r="E141" s="12">
        <v>44378</v>
      </c>
      <c r="F141" s="31">
        <v>79.989999999999995</v>
      </c>
      <c r="G141" s="13">
        <v>4</v>
      </c>
      <c r="H141" s="31">
        <f t="shared" si="2"/>
        <v>319.95999999999998</v>
      </c>
    </row>
    <row r="142" spans="1:8" x14ac:dyDescent="0.3">
      <c r="A142" s="17" t="s">
        <v>8</v>
      </c>
      <c r="B142" s="10" t="s">
        <v>26</v>
      </c>
      <c r="C142" s="11" t="s">
        <v>17</v>
      </c>
      <c r="D142" s="10" t="s">
        <v>19</v>
      </c>
      <c r="E142" s="12">
        <v>44448</v>
      </c>
      <c r="F142" s="31">
        <v>168.95</v>
      </c>
      <c r="G142" s="13">
        <v>15</v>
      </c>
      <c r="H142" s="31">
        <f t="shared" si="2"/>
        <v>2534.25</v>
      </c>
    </row>
    <row r="143" spans="1:8" x14ac:dyDescent="0.3">
      <c r="A143" s="9" t="s">
        <v>13</v>
      </c>
      <c r="B143" s="10" t="s">
        <v>24</v>
      </c>
      <c r="C143" s="11" t="s">
        <v>16</v>
      </c>
      <c r="D143" s="10" t="s">
        <v>21</v>
      </c>
      <c r="E143" s="12">
        <v>44017</v>
      </c>
      <c r="F143" s="31">
        <v>79.989999999999995</v>
      </c>
      <c r="G143" s="13">
        <v>6</v>
      </c>
      <c r="H143" s="31">
        <f t="shared" si="2"/>
        <v>479.93999999999994</v>
      </c>
    </row>
    <row r="144" spans="1:8" x14ac:dyDescent="0.3">
      <c r="A144" s="9" t="s">
        <v>5</v>
      </c>
      <c r="B144" s="10" t="s">
        <v>24</v>
      </c>
      <c r="C144" s="11" t="s">
        <v>15</v>
      </c>
      <c r="D144" s="10" t="s">
        <v>21</v>
      </c>
      <c r="E144" s="12">
        <v>44154</v>
      </c>
      <c r="F144" s="31">
        <v>79.989999999999995</v>
      </c>
      <c r="G144" s="13">
        <v>8</v>
      </c>
      <c r="H144" s="31">
        <f t="shared" si="2"/>
        <v>639.91999999999996</v>
      </c>
    </row>
    <row r="145" spans="1:8" x14ac:dyDescent="0.3">
      <c r="A145" s="17" t="s">
        <v>10</v>
      </c>
      <c r="B145" s="10" t="s">
        <v>23</v>
      </c>
      <c r="C145" s="11" t="s">
        <v>16</v>
      </c>
      <c r="D145" s="10" t="s">
        <v>20</v>
      </c>
      <c r="E145" s="12">
        <v>44052</v>
      </c>
      <c r="F145" s="31">
        <v>340.95</v>
      </c>
      <c r="G145" s="13">
        <v>2</v>
      </c>
      <c r="H145" s="31">
        <f t="shared" si="2"/>
        <v>681.9</v>
      </c>
    </row>
    <row r="146" spans="1:8" x14ac:dyDescent="0.3">
      <c r="A146" s="9" t="s">
        <v>13</v>
      </c>
      <c r="B146" s="10" t="s">
        <v>23</v>
      </c>
      <c r="C146" s="11" t="s">
        <v>16</v>
      </c>
      <c r="D146" s="10" t="s">
        <v>21</v>
      </c>
      <c r="E146" s="12">
        <v>44437</v>
      </c>
      <c r="F146" s="31">
        <v>340.95</v>
      </c>
      <c r="G146" s="13">
        <v>5</v>
      </c>
      <c r="H146" s="31">
        <f t="shared" si="2"/>
        <v>1704.75</v>
      </c>
    </row>
    <row r="147" spans="1:8" x14ac:dyDescent="0.3">
      <c r="A147" s="9" t="s">
        <v>9</v>
      </c>
      <c r="B147" s="10" t="s">
        <v>27</v>
      </c>
      <c r="C147" s="11" t="s">
        <v>15</v>
      </c>
      <c r="D147" s="10" t="s">
        <v>18</v>
      </c>
      <c r="E147" s="12">
        <v>43881</v>
      </c>
      <c r="F147" s="31">
        <v>799.95</v>
      </c>
      <c r="G147" s="13">
        <v>18</v>
      </c>
      <c r="H147" s="31">
        <f t="shared" si="2"/>
        <v>14399.1</v>
      </c>
    </row>
    <row r="148" spans="1:8" x14ac:dyDescent="0.3">
      <c r="A148" s="17" t="s">
        <v>12</v>
      </c>
      <c r="B148" s="10" t="s">
        <v>23</v>
      </c>
      <c r="C148" s="11" t="s">
        <v>15</v>
      </c>
      <c r="D148" s="10" t="s">
        <v>20</v>
      </c>
      <c r="E148" s="12">
        <v>44036</v>
      </c>
      <c r="F148" s="31">
        <v>340.95</v>
      </c>
      <c r="G148" s="13">
        <v>7</v>
      </c>
      <c r="H148" s="31">
        <f t="shared" si="2"/>
        <v>2386.65</v>
      </c>
    </row>
    <row r="149" spans="1:8" x14ac:dyDescent="0.3">
      <c r="A149" s="9" t="s">
        <v>5</v>
      </c>
      <c r="B149" s="10" t="s">
        <v>25</v>
      </c>
      <c r="C149" s="11" t="s">
        <v>16</v>
      </c>
      <c r="D149" s="10" t="s">
        <v>22</v>
      </c>
      <c r="E149" s="12">
        <v>44394</v>
      </c>
      <c r="F149" s="31">
        <v>340.95</v>
      </c>
      <c r="G149" s="13">
        <v>2</v>
      </c>
      <c r="H149" s="31">
        <f t="shared" si="2"/>
        <v>681.9</v>
      </c>
    </row>
    <row r="150" spans="1:8" x14ac:dyDescent="0.3">
      <c r="A150" s="9" t="s">
        <v>3</v>
      </c>
      <c r="B150" s="10" t="s">
        <v>26</v>
      </c>
      <c r="C150" s="11" t="s">
        <v>15</v>
      </c>
      <c r="D150" s="10" t="s">
        <v>18</v>
      </c>
      <c r="E150" s="12">
        <v>44193</v>
      </c>
      <c r="F150" s="31">
        <v>168.95</v>
      </c>
      <c r="G150" s="13">
        <v>20</v>
      </c>
      <c r="H150" s="31">
        <f t="shared" si="2"/>
        <v>3379</v>
      </c>
    </row>
    <row r="151" spans="1:8" x14ac:dyDescent="0.3">
      <c r="A151" s="9" t="s">
        <v>3</v>
      </c>
      <c r="B151" s="10" t="s">
        <v>26</v>
      </c>
      <c r="C151" s="11" t="s">
        <v>15</v>
      </c>
      <c r="D151" s="10" t="s">
        <v>19</v>
      </c>
      <c r="E151" s="12">
        <v>44133</v>
      </c>
      <c r="F151" s="31">
        <v>168.95</v>
      </c>
      <c r="G151" s="13">
        <v>15</v>
      </c>
      <c r="H151" s="31">
        <f t="shared" si="2"/>
        <v>2534.25</v>
      </c>
    </row>
    <row r="152" spans="1:8" x14ac:dyDescent="0.3">
      <c r="A152" s="9" t="s">
        <v>3</v>
      </c>
      <c r="B152" s="10" t="s">
        <v>26</v>
      </c>
      <c r="C152" s="11" t="s">
        <v>15</v>
      </c>
      <c r="D152" s="10" t="s">
        <v>18</v>
      </c>
      <c r="E152" s="12">
        <v>44457</v>
      </c>
      <c r="F152" s="31">
        <v>168.95</v>
      </c>
      <c r="G152" s="13">
        <v>20</v>
      </c>
      <c r="H152" s="31">
        <f t="shared" si="2"/>
        <v>3379</v>
      </c>
    </row>
    <row r="153" spans="1:8" x14ac:dyDescent="0.3">
      <c r="A153" s="9" t="s">
        <v>5</v>
      </c>
      <c r="B153" s="10" t="s">
        <v>24</v>
      </c>
      <c r="C153" s="11" t="s">
        <v>15</v>
      </c>
      <c r="D153" s="10" t="s">
        <v>22</v>
      </c>
      <c r="E153" s="12">
        <v>44120</v>
      </c>
      <c r="F153" s="31">
        <v>79.989999999999995</v>
      </c>
      <c r="G153" s="13">
        <v>1</v>
      </c>
      <c r="H153" s="31">
        <f t="shared" si="2"/>
        <v>79.989999999999995</v>
      </c>
    </row>
    <row r="154" spans="1:8" x14ac:dyDescent="0.3">
      <c r="A154" s="9" t="s">
        <v>9</v>
      </c>
      <c r="B154" s="10" t="s">
        <v>24</v>
      </c>
      <c r="C154" s="11" t="s">
        <v>15</v>
      </c>
      <c r="D154" s="10" t="s">
        <v>21</v>
      </c>
      <c r="E154" s="12">
        <v>44214</v>
      </c>
      <c r="F154" s="31">
        <v>79.989999999999995</v>
      </c>
      <c r="G154" s="13">
        <v>2</v>
      </c>
      <c r="H154" s="31">
        <f t="shared" si="2"/>
        <v>159.97999999999999</v>
      </c>
    </row>
    <row r="155" spans="1:8" x14ac:dyDescent="0.3">
      <c r="A155" s="17" t="s">
        <v>8</v>
      </c>
      <c r="B155" s="10" t="s">
        <v>24</v>
      </c>
      <c r="C155" s="11" t="s">
        <v>17</v>
      </c>
      <c r="D155" s="10" t="s">
        <v>19</v>
      </c>
      <c r="E155" s="12">
        <v>43869</v>
      </c>
      <c r="F155" s="31">
        <v>79.989999999999995</v>
      </c>
      <c r="G155" s="13">
        <v>14</v>
      </c>
      <c r="H155" s="31">
        <f t="shared" si="2"/>
        <v>1119.8599999999999</v>
      </c>
    </row>
    <row r="156" spans="1:8" x14ac:dyDescent="0.3">
      <c r="A156" s="9" t="s">
        <v>2</v>
      </c>
      <c r="B156" s="10" t="s">
        <v>26</v>
      </c>
      <c r="C156" s="11" t="s">
        <v>14</v>
      </c>
      <c r="D156" s="10" t="s">
        <v>22</v>
      </c>
      <c r="E156" s="12">
        <v>44428</v>
      </c>
      <c r="F156" s="31">
        <v>168.95</v>
      </c>
      <c r="G156" s="13">
        <v>2</v>
      </c>
      <c r="H156" s="31">
        <f t="shared" si="2"/>
        <v>337.9</v>
      </c>
    </row>
    <row r="157" spans="1:8" x14ac:dyDescent="0.3">
      <c r="A157" s="9" t="s">
        <v>3</v>
      </c>
      <c r="B157" s="10" t="s">
        <v>27</v>
      </c>
      <c r="C157" s="11" t="s">
        <v>15</v>
      </c>
      <c r="D157" s="10" t="s">
        <v>22</v>
      </c>
      <c r="E157" s="12">
        <v>44420</v>
      </c>
      <c r="F157" s="31">
        <v>799.95</v>
      </c>
      <c r="G157" s="13">
        <v>12</v>
      </c>
      <c r="H157" s="31">
        <f t="shared" si="2"/>
        <v>9599.4000000000015</v>
      </c>
    </row>
    <row r="158" spans="1:8" x14ac:dyDescent="0.3">
      <c r="A158" s="17" t="s">
        <v>6</v>
      </c>
      <c r="B158" s="10" t="s">
        <v>25</v>
      </c>
      <c r="C158" s="11" t="s">
        <v>14</v>
      </c>
      <c r="D158" s="10" t="s">
        <v>22</v>
      </c>
      <c r="E158" s="12">
        <v>44298</v>
      </c>
      <c r="F158" s="31">
        <v>340.95</v>
      </c>
      <c r="G158" s="13">
        <v>4</v>
      </c>
      <c r="H158" s="31">
        <f t="shared" si="2"/>
        <v>1363.8</v>
      </c>
    </row>
    <row r="159" spans="1:8" x14ac:dyDescent="0.3">
      <c r="A159" s="9" t="s">
        <v>13</v>
      </c>
      <c r="B159" s="10" t="s">
        <v>23</v>
      </c>
      <c r="C159" s="11" t="s">
        <v>16</v>
      </c>
      <c r="D159" s="10" t="s">
        <v>18</v>
      </c>
      <c r="E159" s="12">
        <v>44192</v>
      </c>
      <c r="F159" s="31">
        <v>340.95</v>
      </c>
      <c r="G159" s="13">
        <v>16</v>
      </c>
      <c r="H159" s="31">
        <f t="shared" si="2"/>
        <v>5455.2</v>
      </c>
    </row>
    <row r="160" spans="1:8" x14ac:dyDescent="0.3">
      <c r="A160" s="9" t="s">
        <v>9</v>
      </c>
      <c r="B160" s="10" t="s">
        <v>27</v>
      </c>
      <c r="C160" s="11" t="s">
        <v>15</v>
      </c>
      <c r="D160" s="10" t="s">
        <v>19</v>
      </c>
      <c r="E160" s="12">
        <v>43880</v>
      </c>
      <c r="F160" s="31">
        <v>799.95</v>
      </c>
      <c r="G160" s="13">
        <v>5</v>
      </c>
      <c r="H160" s="31">
        <f t="shared" si="2"/>
        <v>3999.75</v>
      </c>
    </row>
    <row r="161" spans="1:8" x14ac:dyDescent="0.3">
      <c r="A161" s="17" t="s">
        <v>8</v>
      </c>
      <c r="B161" s="10" t="s">
        <v>24</v>
      </c>
      <c r="C161" s="11" t="s">
        <v>17</v>
      </c>
      <c r="D161" s="10" t="s">
        <v>22</v>
      </c>
      <c r="E161" s="12">
        <v>44035</v>
      </c>
      <c r="F161" s="31">
        <v>79.989999999999995</v>
      </c>
      <c r="G161" s="13">
        <v>13</v>
      </c>
      <c r="H161" s="31">
        <f t="shared" si="2"/>
        <v>1039.8699999999999</v>
      </c>
    </row>
    <row r="162" spans="1:8" x14ac:dyDescent="0.3">
      <c r="A162" s="17" t="s">
        <v>12</v>
      </c>
      <c r="B162" s="10" t="s">
        <v>23</v>
      </c>
      <c r="C162" s="11" t="s">
        <v>15</v>
      </c>
      <c r="D162" s="10" t="s">
        <v>18</v>
      </c>
      <c r="E162" s="12">
        <v>43995</v>
      </c>
      <c r="F162" s="31">
        <v>340.95</v>
      </c>
      <c r="G162" s="13">
        <v>18</v>
      </c>
      <c r="H162" s="31">
        <f t="shared" si="2"/>
        <v>6137.0999999999995</v>
      </c>
    </row>
    <row r="163" spans="1:8" x14ac:dyDescent="0.3">
      <c r="A163" s="9" t="s">
        <v>2</v>
      </c>
      <c r="B163" s="10" t="s">
        <v>25</v>
      </c>
      <c r="C163" s="11" t="s">
        <v>14</v>
      </c>
      <c r="D163" s="10" t="s">
        <v>21</v>
      </c>
      <c r="E163" s="12">
        <v>43946</v>
      </c>
      <c r="F163" s="31">
        <v>340.95</v>
      </c>
      <c r="G163" s="13">
        <v>8</v>
      </c>
      <c r="H163" s="31">
        <f t="shared" si="2"/>
        <v>2727.6</v>
      </c>
    </row>
    <row r="164" spans="1:8" x14ac:dyDescent="0.3">
      <c r="A164" s="9" t="s">
        <v>13</v>
      </c>
      <c r="B164" s="10" t="s">
        <v>26</v>
      </c>
      <c r="C164" s="11" t="s">
        <v>16</v>
      </c>
      <c r="D164" s="10" t="s">
        <v>18</v>
      </c>
      <c r="E164" s="12">
        <v>44036</v>
      </c>
      <c r="F164" s="31">
        <v>168.95</v>
      </c>
      <c r="G164" s="13">
        <v>7</v>
      </c>
      <c r="H164" s="31">
        <f t="shared" si="2"/>
        <v>1182.6499999999999</v>
      </c>
    </row>
    <row r="165" spans="1:8" x14ac:dyDescent="0.3">
      <c r="A165" s="17" t="s">
        <v>11</v>
      </c>
      <c r="B165" s="10" t="s">
        <v>25</v>
      </c>
      <c r="C165" s="11" t="s">
        <v>14</v>
      </c>
      <c r="D165" s="10" t="s">
        <v>18</v>
      </c>
      <c r="E165" s="12">
        <v>43903</v>
      </c>
      <c r="F165" s="31">
        <v>340.95</v>
      </c>
      <c r="G165" s="13">
        <v>17</v>
      </c>
      <c r="H165" s="31">
        <f t="shared" si="2"/>
        <v>5796.15</v>
      </c>
    </row>
    <row r="166" spans="1:8" x14ac:dyDescent="0.3">
      <c r="A166" s="9" t="s">
        <v>5</v>
      </c>
      <c r="B166" s="10" t="s">
        <v>24</v>
      </c>
      <c r="C166" s="11" t="s">
        <v>15</v>
      </c>
      <c r="D166" s="10" t="s">
        <v>19</v>
      </c>
      <c r="E166" s="12">
        <v>44189</v>
      </c>
      <c r="F166" s="31">
        <v>79.989999999999995</v>
      </c>
      <c r="G166" s="13">
        <v>3</v>
      </c>
      <c r="H166" s="31">
        <f t="shared" si="2"/>
        <v>239.96999999999997</v>
      </c>
    </row>
    <row r="167" spans="1:8" x14ac:dyDescent="0.3">
      <c r="A167" s="17" t="s">
        <v>4</v>
      </c>
      <c r="B167" s="10" t="s">
        <v>26</v>
      </c>
      <c r="C167" s="11" t="s">
        <v>14</v>
      </c>
      <c r="D167" s="10" t="s">
        <v>22</v>
      </c>
      <c r="E167" s="12">
        <v>44106</v>
      </c>
      <c r="F167" s="31">
        <v>168.95</v>
      </c>
      <c r="G167" s="13">
        <v>1</v>
      </c>
      <c r="H167" s="31">
        <f t="shared" si="2"/>
        <v>168.95</v>
      </c>
    </row>
    <row r="168" spans="1:8" x14ac:dyDescent="0.3">
      <c r="A168" s="9" t="s">
        <v>7</v>
      </c>
      <c r="B168" s="10" t="s">
        <v>25</v>
      </c>
      <c r="C168" s="11" t="s">
        <v>17</v>
      </c>
      <c r="D168" s="10" t="s">
        <v>22</v>
      </c>
      <c r="E168" s="12">
        <v>44233</v>
      </c>
      <c r="F168" s="31">
        <v>340.95</v>
      </c>
      <c r="G168" s="13">
        <v>14</v>
      </c>
      <c r="H168" s="31">
        <f t="shared" si="2"/>
        <v>4773.3</v>
      </c>
    </row>
    <row r="169" spans="1:8" x14ac:dyDescent="0.3">
      <c r="A169" s="9" t="s">
        <v>9</v>
      </c>
      <c r="B169" s="10" t="s">
        <v>23</v>
      </c>
      <c r="C169" s="11" t="s">
        <v>15</v>
      </c>
      <c r="D169" s="10" t="s">
        <v>21</v>
      </c>
      <c r="E169" s="12">
        <v>44205</v>
      </c>
      <c r="F169" s="31">
        <v>340.95</v>
      </c>
      <c r="G169" s="13">
        <v>1</v>
      </c>
      <c r="H169" s="31">
        <f t="shared" si="2"/>
        <v>340.95</v>
      </c>
    </row>
    <row r="170" spans="1:8" x14ac:dyDescent="0.3">
      <c r="A170" s="9" t="s">
        <v>5</v>
      </c>
      <c r="B170" s="10" t="s">
        <v>27</v>
      </c>
      <c r="C170" s="11" t="s">
        <v>15</v>
      </c>
      <c r="D170" s="10" t="s">
        <v>20</v>
      </c>
      <c r="E170" s="12">
        <v>44457</v>
      </c>
      <c r="F170" s="31">
        <v>799.95</v>
      </c>
      <c r="G170" s="13">
        <v>9</v>
      </c>
      <c r="H170" s="31">
        <f t="shared" si="2"/>
        <v>7199.55</v>
      </c>
    </row>
    <row r="171" spans="1:8" x14ac:dyDescent="0.3">
      <c r="A171" s="9" t="s">
        <v>5</v>
      </c>
      <c r="B171" s="10" t="s">
        <v>26</v>
      </c>
      <c r="C171" s="11" t="s">
        <v>15</v>
      </c>
      <c r="D171" s="10" t="s">
        <v>21</v>
      </c>
      <c r="E171" s="12">
        <v>43975</v>
      </c>
      <c r="F171" s="31">
        <v>168.95</v>
      </c>
      <c r="G171" s="13">
        <v>4</v>
      </c>
      <c r="H171" s="31">
        <f t="shared" si="2"/>
        <v>675.8</v>
      </c>
    </row>
    <row r="172" spans="1:8" x14ac:dyDescent="0.3">
      <c r="A172" s="9" t="s">
        <v>13</v>
      </c>
      <c r="B172" s="10" t="s">
        <v>25</v>
      </c>
      <c r="C172" s="11" t="s">
        <v>16</v>
      </c>
      <c r="D172" s="10" t="s">
        <v>22</v>
      </c>
      <c r="E172" s="12">
        <v>44154</v>
      </c>
      <c r="F172" s="31">
        <v>340.95</v>
      </c>
      <c r="G172" s="13">
        <v>9</v>
      </c>
      <c r="H172" s="31">
        <f t="shared" si="2"/>
        <v>3068.5499999999997</v>
      </c>
    </row>
    <row r="173" spans="1:8" x14ac:dyDescent="0.3">
      <c r="A173" s="17" t="s">
        <v>12</v>
      </c>
      <c r="B173" s="10" t="s">
        <v>25</v>
      </c>
      <c r="C173" s="11" t="s">
        <v>15</v>
      </c>
      <c r="D173" s="10" t="s">
        <v>18</v>
      </c>
      <c r="E173" s="12">
        <v>43867</v>
      </c>
      <c r="F173" s="31">
        <v>340.95</v>
      </c>
      <c r="G173" s="13">
        <v>9</v>
      </c>
      <c r="H173" s="31">
        <f t="shared" si="2"/>
        <v>3068.5499999999997</v>
      </c>
    </row>
    <row r="174" spans="1:8" x14ac:dyDescent="0.3">
      <c r="A174" s="9" t="s">
        <v>13</v>
      </c>
      <c r="B174" s="10" t="s">
        <v>26</v>
      </c>
      <c r="C174" s="11" t="s">
        <v>16</v>
      </c>
      <c r="D174" s="10" t="s">
        <v>21</v>
      </c>
      <c r="E174" s="12">
        <v>44161</v>
      </c>
      <c r="F174" s="31">
        <v>168.95</v>
      </c>
      <c r="G174" s="13">
        <v>2</v>
      </c>
      <c r="H174" s="31">
        <f t="shared" si="2"/>
        <v>337.9</v>
      </c>
    </row>
    <row r="175" spans="1:8" x14ac:dyDescent="0.3">
      <c r="A175" s="9" t="s">
        <v>5</v>
      </c>
      <c r="B175" s="10" t="s">
        <v>26</v>
      </c>
      <c r="C175" s="11" t="s">
        <v>15</v>
      </c>
      <c r="D175" s="10" t="s">
        <v>18</v>
      </c>
      <c r="E175" s="12">
        <v>44139</v>
      </c>
      <c r="F175" s="31">
        <v>168.95</v>
      </c>
      <c r="G175" s="13">
        <v>11</v>
      </c>
      <c r="H175" s="31">
        <f t="shared" si="2"/>
        <v>1858.4499999999998</v>
      </c>
    </row>
    <row r="176" spans="1:8" x14ac:dyDescent="0.3">
      <c r="A176" s="9" t="s">
        <v>2</v>
      </c>
      <c r="B176" s="10" t="s">
        <v>23</v>
      </c>
      <c r="C176" s="11" t="s">
        <v>14</v>
      </c>
      <c r="D176" s="10" t="s">
        <v>19</v>
      </c>
      <c r="E176" s="12">
        <v>44326</v>
      </c>
      <c r="F176" s="31">
        <v>340.95</v>
      </c>
      <c r="G176" s="13">
        <v>8</v>
      </c>
      <c r="H176" s="31">
        <f t="shared" si="2"/>
        <v>2727.6</v>
      </c>
    </row>
    <row r="177" spans="1:8" x14ac:dyDescent="0.3">
      <c r="A177" s="9" t="s">
        <v>5</v>
      </c>
      <c r="B177" s="10" t="s">
        <v>26</v>
      </c>
      <c r="C177" s="11" t="s">
        <v>15</v>
      </c>
      <c r="D177" s="10" t="s">
        <v>21</v>
      </c>
      <c r="E177" s="12">
        <v>44189</v>
      </c>
      <c r="F177" s="31">
        <v>168.95</v>
      </c>
      <c r="G177" s="13">
        <v>9</v>
      </c>
      <c r="H177" s="31">
        <f t="shared" si="2"/>
        <v>1520.55</v>
      </c>
    </row>
    <row r="178" spans="1:8" x14ac:dyDescent="0.3">
      <c r="A178" s="9" t="s">
        <v>13</v>
      </c>
      <c r="B178" s="10" t="s">
        <v>25</v>
      </c>
      <c r="C178" s="11" t="s">
        <v>16</v>
      </c>
      <c r="D178" s="10" t="s">
        <v>18</v>
      </c>
      <c r="E178" s="12">
        <v>44232</v>
      </c>
      <c r="F178" s="31">
        <v>340.95</v>
      </c>
      <c r="G178" s="13">
        <v>12</v>
      </c>
      <c r="H178" s="31">
        <f t="shared" si="2"/>
        <v>4091.3999999999996</v>
      </c>
    </row>
    <row r="179" spans="1:8" x14ac:dyDescent="0.3">
      <c r="A179" s="9" t="s">
        <v>3</v>
      </c>
      <c r="B179" s="10" t="s">
        <v>26</v>
      </c>
      <c r="C179" s="11" t="s">
        <v>15</v>
      </c>
      <c r="D179" s="10" t="s">
        <v>20</v>
      </c>
      <c r="E179" s="12">
        <v>44232</v>
      </c>
      <c r="F179" s="31">
        <v>168.95</v>
      </c>
      <c r="G179" s="13">
        <v>6</v>
      </c>
      <c r="H179" s="31">
        <f t="shared" si="2"/>
        <v>1013.6999999999999</v>
      </c>
    </row>
    <row r="180" spans="1:8" x14ac:dyDescent="0.3">
      <c r="A180" s="17" t="s">
        <v>10</v>
      </c>
      <c r="B180" s="10" t="s">
        <v>24</v>
      </c>
      <c r="C180" s="11" t="s">
        <v>16</v>
      </c>
      <c r="D180" s="10" t="s">
        <v>20</v>
      </c>
      <c r="E180" s="12">
        <v>44221</v>
      </c>
      <c r="F180" s="31">
        <v>79.989999999999995</v>
      </c>
      <c r="G180" s="13">
        <v>10</v>
      </c>
      <c r="H180" s="31">
        <f t="shared" si="2"/>
        <v>799.9</v>
      </c>
    </row>
    <row r="181" spans="1:8" x14ac:dyDescent="0.3">
      <c r="A181" s="17" t="s">
        <v>6</v>
      </c>
      <c r="B181" s="10" t="s">
        <v>26</v>
      </c>
      <c r="C181" s="11" t="s">
        <v>14</v>
      </c>
      <c r="D181" s="10" t="s">
        <v>18</v>
      </c>
      <c r="E181" s="12">
        <v>44298</v>
      </c>
      <c r="F181" s="31">
        <v>168.95</v>
      </c>
      <c r="G181" s="13">
        <v>8</v>
      </c>
      <c r="H181" s="31">
        <f t="shared" si="2"/>
        <v>1351.6</v>
      </c>
    </row>
    <row r="182" spans="1:8" x14ac:dyDescent="0.3">
      <c r="A182" s="17" t="s">
        <v>8</v>
      </c>
      <c r="B182" s="10" t="s">
        <v>23</v>
      </c>
      <c r="C182" s="11" t="s">
        <v>17</v>
      </c>
      <c r="D182" s="10" t="s">
        <v>20</v>
      </c>
      <c r="E182" s="12">
        <v>44135</v>
      </c>
      <c r="F182" s="31">
        <v>340.95</v>
      </c>
      <c r="G182" s="13">
        <v>15</v>
      </c>
      <c r="H182" s="31">
        <f t="shared" si="2"/>
        <v>5114.25</v>
      </c>
    </row>
    <row r="183" spans="1:8" x14ac:dyDescent="0.3">
      <c r="A183" s="9" t="s">
        <v>7</v>
      </c>
      <c r="B183" s="10" t="s">
        <v>26</v>
      </c>
      <c r="C183" s="11" t="s">
        <v>17</v>
      </c>
      <c r="D183" s="10" t="s">
        <v>22</v>
      </c>
      <c r="E183" s="12">
        <v>43932</v>
      </c>
      <c r="F183" s="31">
        <v>168.95</v>
      </c>
      <c r="G183" s="13">
        <v>3</v>
      </c>
      <c r="H183" s="31">
        <f t="shared" si="2"/>
        <v>506.84999999999997</v>
      </c>
    </row>
    <row r="184" spans="1:8" x14ac:dyDescent="0.3">
      <c r="A184" s="17" t="s">
        <v>8</v>
      </c>
      <c r="B184" s="10" t="s">
        <v>24</v>
      </c>
      <c r="C184" s="11" t="s">
        <v>17</v>
      </c>
      <c r="D184" s="10" t="s">
        <v>19</v>
      </c>
      <c r="E184" s="12">
        <v>43953</v>
      </c>
      <c r="F184" s="31">
        <v>79.989999999999995</v>
      </c>
      <c r="G184" s="13">
        <v>1</v>
      </c>
      <c r="H184" s="31">
        <f t="shared" si="2"/>
        <v>79.989999999999995</v>
      </c>
    </row>
    <row r="185" spans="1:8" x14ac:dyDescent="0.3">
      <c r="A185" s="9" t="s">
        <v>2</v>
      </c>
      <c r="B185" s="10" t="s">
        <v>23</v>
      </c>
      <c r="C185" s="11" t="s">
        <v>14</v>
      </c>
      <c r="D185" s="10" t="s">
        <v>20</v>
      </c>
      <c r="E185" s="12">
        <v>44258</v>
      </c>
      <c r="F185" s="31">
        <v>340.95</v>
      </c>
      <c r="G185" s="13">
        <v>12</v>
      </c>
      <c r="H185" s="31">
        <f t="shared" si="2"/>
        <v>4091.3999999999996</v>
      </c>
    </row>
    <row r="186" spans="1:8" x14ac:dyDescent="0.3">
      <c r="A186" s="17" t="s">
        <v>12</v>
      </c>
      <c r="B186" s="10" t="s">
        <v>27</v>
      </c>
      <c r="C186" s="11" t="s">
        <v>15</v>
      </c>
      <c r="D186" s="10" t="s">
        <v>20</v>
      </c>
      <c r="E186" s="12">
        <v>44309</v>
      </c>
      <c r="F186" s="31">
        <v>799.95</v>
      </c>
      <c r="G186" s="13">
        <v>5</v>
      </c>
      <c r="H186" s="31">
        <f t="shared" si="2"/>
        <v>3999.75</v>
      </c>
    </row>
    <row r="187" spans="1:8" x14ac:dyDescent="0.3">
      <c r="A187" s="9" t="s">
        <v>5</v>
      </c>
      <c r="B187" s="10" t="s">
        <v>27</v>
      </c>
      <c r="C187" s="11" t="s">
        <v>15</v>
      </c>
      <c r="D187" s="10" t="s">
        <v>21</v>
      </c>
      <c r="E187" s="12">
        <v>44472</v>
      </c>
      <c r="F187" s="31">
        <v>799.95</v>
      </c>
      <c r="G187" s="13">
        <v>9</v>
      </c>
      <c r="H187" s="31">
        <f t="shared" si="2"/>
        <v>7199.55</v>
      </c>
    </row>
    <row r="188" spans="1:8" x14ac:dyDescent="0.3">
      <c r="A188" s="17" t="s">
        <v>12</v>
      </c>
      <c r="B188" s="10" t="s">
        <v>23</v>
      </c>
      <c r="C188" s="11" t="s">
        <v>15</v>
      </c>
      <c r="D188" s="10" t="s">
        <v>19</v>
      </c>
      <c r="E188" s="12">
        <v>43946</v>
      </c>
      <c r="F188" s="31">
        <v>340.95</v>
      </c>
      <c r="G188" s="13">
        <v>4</v>
      </c>
      <c r="H188" s="31">
        <f t="shared" si="2"/>
        <v>1363.8</v>
      </c>
    </row>
    <row r="189" spans="1:8" x14ac:dyDescent="0.3">
      <c r="A189" s="17" t="s">
        <v>6</v>
      </c>
      <c r="B189" s="10" t="s">
        <v>26</v>
      </c>
      <c r="C189" s="11" t="s">
        <v>14</v>
      </c>
      <c r="D189" s="10" t="s">
        <v>20</v>
      </c>
      <c r="E189" s="12">
        <v>44508</v>
      </c>
      <c r="F189" s="31">
        <v>168.95</v>
      </c>
      <c r="G189" s="13">
        <v>9</v>
      </c>
      <c r="H189" s="31">
        <f t="shared" si="2"/>
        <v>1520.55</v>
      </c>
    </row>
    <row r="190" spans="1:8" x14ac:dyDescent="0.3">
      <c r="A190" s="17" t="s">
        <v>10</v>
      </c>
      <c r="B190" s="10" t="s">
        <v>26</v>
      </c>
      <c r="C190" s="11" t="s">
        <v>16</v>
      </c>
      <c r="D190" s="10" t="s">
        <v>21</v>
      </c>
      <c r="E190" s="12">
        <v>44400</v>
      </c>
      <c r="F190" s="31">
        <v>168.95</v>
      </c>
      <c r="G190" s="13">
        <v>2</v>
      </c>
      <c r="H190" s="31">
        <f t="shared" si="2"/>
        <v>337.9</v>
      </c>
    </row>
    <row r="191" spans="1:8" x14ac:dyDescent="0.3">
      <c r="A191" s="9" t="s">
        <v>2</v>
      </c>
      <c r="B191" s="10" t="s">
        <v>26</v>
      </c>
      <c r="C191" s="11" t="s">
        <v>14</v>
      </c>
      <c r="D191" s="10" t="s">
        <v>21</v>
      </c>
      <c r="E191" s="12">
        <v>44476</v>
      </c>
      <c r="F191" s="31">
        <v>168.95</v>
      </c>
      <c r="G191" s="13">
        <v>1</v>
      </c>
      <c r="H191" s="31">
        <f t="shared" si="2"/>
        <v>168.95</v>
      </c>
    </row>
    <row r="192" spans="1:8" x14ac:dyDescent="0.3">
      <c r="A192" s="17" t="s">
        <v>11</v>
      </c>
      <c r="B192" s="10" t="s">
        <v>27</v>
      </c>
      <c r="C192" s="11" t="s">
        <v>14</v>
      </c>
      <c r="D192" s="10" t="s">
        <v>21</v>
      </c>
      <c r="E192" s="12">
        <v>44136</v>
      </c>
      <c r="F192" s="31">
        <v>799.95</v>
      </c>
      <c r="G192" s="13">
        <v>10</v>
      </c>
      <c r="H192" s="31">
        <f t="shared" si="2"/>
        <v>7999.5</v>
      </c>
    </row>
    <row r="193" spans="1:8" x14ac:dyDescent="0.3">
      <c r="A193" s="17" t="s">
        <v>8</v>
      </c>
      <c r="B193" s="10" t="s">
        <v>27</v>
      </c>
      <c r="C193" s="11" t="s">
        <v>17</v>
      </c>
      <c r="D193" s="10" t="s">
        <v>22</v>
      </c>
      <c r="E193" s="12">
        <v>44247</v>
      </c>
      <c r="F193" s="31">
        <v>799.95</v>
      </c>
      <c r="G193" s="13">
        <v>4</v>
      </c>
      <c r="H193" s="31">
        <f t="shared" si="2"/>
        <v>3199.8</v>
      </c>
    </row>
    <row r="194" spans="1:8" x14ac:dyDescent="0.3">
      <c r="A194" s="9" t="s">
        <v>3</v>
      </c>
      <c r="B194" s="10" t="s">
        <v>23</v>
      </c>
      <c r="C194" s="11" t="s">
        <v>15</v>
      </c>
      <c r="D194" s="10" t="s">
        <v>19</v>
      </c>
      <c r="E194" s="12">
        <v>44225</v>
      </c>
      <c r="F194" s="31">
        <v>340.95</v>
      </c>
      <c r="G194" s="13">
        <v>8</v>
      </c>
      <c r="H194" s="31">
        <f t="shared" ref="H194:H257" si="3">F194*G194</f>
        <v>2727.6</v>
      </c>
    </row>
    <row r="195" spans="1:8" x14ac:dyDescent="0.3">
      <c r="A195" s="17" t="s">
        <v>8</v>
      </c>
      <c r="B195" s="10" t="s">
        <v>25</v>
      </c>
      <c r="C195" s="11" t="s">
        <v>17</v>
      </c>
      <c r="D195" s="10" t="s">
        <v>19</v>
      </c>
      <c r="E195" s="12">
        <v>44036</v>
      </c>
      <c r="F195" s="31">
        <v>340.95</v>
      </c>
      <c r="G195" s="13">
        <v>9</v>
      </c>
      <c r="H195" s="31">
        <f t="shared" si="3"/>
        <v>3068.5499999999997</v>
      </c>
    </row>
    <row r="196" spans="1:8" x14ac:dyDescent="0.3">
      <c r="A196" s="17" t="s">
        <v>12</v>
      </c>
      <c r="B196" s="10" t="s">
        <v>26</v>
      </c>
      <c r="C196" s="11" t="s">
        <v>15</v>
      </c>
      <c r="D196" s="10" t="s">
        <v>18</v>
      </c>
      <c r="E196" s="12">
        <v>43985</v>
      </c>
      <c r="F196" s="31">
        <v>168.95</v>
      </c>
      <c r="G196" s="13">
        <v>14</v>
      </c>
      <c r="H196" s="31">
        <f t="shared" si="3"/>
        <v>2365.2999999999997</v>
      </c>
    </row>
    <row r="197" spans="1:8" x14ac:dyDescent="0.3">
      <c r="A197" s="9" t="s">
        <v>3</v>
      </c>
      <c r="B197" s="10" t="s">
        <v>27</v>
      </c>
      <c r="C197" s="11" t="s">
        <v>15</v>
      </c>
      <c r="D197" s="10" t="s">
        <v>21</v>
      </c>
      <c r="E197" s="12">
        <v>44524</v>
      </c>
      <c r="F197" s="31">
        <v>799.95</v>
      </c>
      <c r="G197" s="13">
        <v>10</v>
      </c>
      <c r="H197" s="31">
        <f t="shared" si="3"/>
        <v>7999.5</v>
      </c>
    </row>
    <row r="198" spans="1:8" x14ac:dyDescent="0.3">
      <c r="A198" s="9" t="s">
        <v>9</v>
      </c>
      <c r="B198" s="10" t="s">
        <v>26</v>
      </c>
      <c r="C198" s="11" t="s">
        <v>15</v>
      </c>
      <c r="D198" s="10" t="s">
        <v>22</v>
      </c>
      <c r="E198" s="12">
        <v>43877</v>
      </c>
      <c r="F198" s="31">
        <v>168.95</v>
      </c>
      <c r="G198" s="13">
        <v>11</v>
      </c>
      <c r="H198" s="31">
        <f t="shared" si="3"/>
        <v>1858.4499999999998</v>
      </c>
    </row>
    <row r="199" spans="1:8" x14ac:dyDescent="0.3">
      <c r="A199" s="9" t="s">
        <v>3</v>
      </c>
      <c r="B199" s="10" t="s">
        <v>25</v>
      </c>
      <c r="C199" s="11" t="s">
        <v>15</v>
      </c>
      <c r="D199" s="10" t="s">
        <v>22</v>
      </c>
      <c r="E199" s="12">
        <v>44377</v>
      </c>
      <c r="F199" s="31">
        <v>340.95</v>
      </c>
      <c r="G199" s="13">
        <v>2</v>
      </c>
      <c r="H199" s="31">
        <f t="shared" si="3"/>
        <v>681.9</v>
      </c>
    </row>
    <row r="200" spans="1:8" x14ac:dyDescent="0.3">
      <c r="A200" s="9" t="s">
        <v>2</v>
      </c>
      <c r="B200" s="10" t="s">
        <v>27</v>
      </c>
      <c r="C200" s="11" t="s">
        <v>14</v>
      </c>
      <c r="D200" s="10" t="s">
        <v>18</v>
      </c>
      <c r="E200" s="12">
        <v>44269</v>
      </c>
      <c r="F200" s="31">
        <v>799.95</v>
      </c>
      <c r="G200" s="13">
        <v>9</v>
      </c>
      <c r="H200" s="31">
        <f t="shared" si="3"/>
        <v>7199.55</v>
      </c>
    </row>
    <row r="201" spans="1:8" x14ac:dyDescent="0.3">
      <c r="A201" s="17" t="s">
        <v>10</v>
      </c>
      <c r="B201" s="10" t="s">
        <v>24</v>
      </c>
      <c r="C201" s="11" t="s">
        <v>16</v>
      </c>
      <c r="D201" s="10" t="s">
        <v>19</v>
      </c>
      <c r="E201" s="12">
        <v>44183</v>
      </c>
      <c r="F201" s="31">
        <v>79.989999999999995</v>
      </c>
      <c r="G201" s="13">
        <v>4</v>
      </c>
      <c r="H201" s="31">
        <f t="shared" si="3"/>
        <v>319.95999999999998</v>
      </c>
    </row>
    <row r="202" spans="1:8" x14ac:dyDescent="0.3">
      <c r="A202" s="9" t="s">
        <v>13</v>
      </c>
      <c r="B202" s="10" t="s">
        <v>24</v>
      </c>
      <c r="C202" s="11" t="s">
        <v>16</v>
      </c>
      <c r="D202" s="10" t="s">
        <v>20</v>
      </c>
      <c r="E202" s="12">
        <v>43908</v>
      </c>
      <c r="F202" s="31">
        <v>79.989999999999995</v>
      </c>
      <c r="G202" s="13">
        <v>1</v>
      </c>
      <c r="H202" s="31">
        <f t="shared" si="3"/>
        <v>79.989999999999995</v>
      </c>
    </row>
    <row r="203" spans="1:8" x14ac:dyDescent="0.3">
      <c r="A203" s="17" t="s">
        <v>10</v>
      </c>
      <c r="B203" s="10" t="s">
        <v>24</v>
      </c>
      <c r="C203" s="11" t="s">
        <v>16</v>
      </c>
      <c r="D203" s="10" t="s">
        <v>22</v>
      </c>
      <c r="E203" s="12">
        <v>44226</v>
      </c>
      <c r="F203" s="31">
        <v>79.989999999999995</v>
      </c>
      <c r="G203" s="13">
        <v>2</v>
      </c>
      <c r="H203" s="31">
        <f t="shared" si="3"/>
        <v>159.97999999999999</v>
      </c>
    </row>
    <row r="204" spans="1:8" x14ac:dyDescent="0.3">
      <c r="A204" s="9" t="s">
        <v>13</v>
      </c>
      <c r="B204" s="10" t="s">
        <v>27</v>
      </c>
      <c r="C204" s="11" t="s">
        <v>16</v>
      </c>
      <c r="D204" s="10" t="s">
        <v>21</v>
      </c>
      <c r="E204" s="12">
        <v>43964</v>
      </c>
      <c r="F204" s="31">
        <v>799.95</v>
      </c>
      <c r="G204" s="13">
        <v>9</v>
      </c>
      <c r="H204" s="31">
        <f t="shared" si="3"/>
        <v>7199.55</v>
      </c>
    </row>
    <row r="205" spans="1:8" x14ac:dyDescent="0.3">
      <c r="A205" s="9" t="s">
        <v>3</v>
      </c>
      <c r="B205" s="10" t="s">
        <v>23</v>
      </c>
      <c r="C205" s="11" t="s">
        <v>15</v>
      </c>
      <c r="D205" s="10" t="s">
        <v>20</v>
      </c>
      <c r="E205" s="12">
        <v>44531</v>
      </c>
      <c r="F205" s="31">
        <v>340.95</v>
      </c>
      <c r="G205" s="13">
        <v>2</v>
      </c>
      <c r="H205" s="31">
        <f t="shared" si="3"/>
        <v>681.9</v>
      </c>
    </row>
    <row r="206" spans="1:8" x14ac:dyDescent="0.3">
      <c r="A206" s="17" t="s">
        <v>11</v>
      </c>
      <c r="B206" s="10" t="s">
        <v>25</v>
      </c>
      <c r="C206" s="11" t="s">
        <v>14</v>
      </c>
      <c r="D206" s="10" t="s">
        <v>19</v>
      </c>
      <c r="E206" s="12">
        <v>43903</v>
      </c>
      <c r="F206" s="31">
        <v>340.95</v>
      </c>
      <c r="G206" s="13">
        <v>9</v>
      </c>
      <c r="H206" s="31">
        <f t="shared" si="3"/>
        <v>3068.5499999999997</v>
      </c>
    </row>
    <row r="207" spans="1:8" x14ac:dyDescent="0.3">
      <c r="A207" s="9" t="s">
        <v>3</v>
      </c>
      <c r="B207" s="10" t="s">
        <v>23</v>
      </c>
      <c r="C207" s="11" t="s">
        <v>15</v>
      </c>
      <c r="D207" s="10" t="s">
        <v>22</v>
      </c>
      <c r="E207" s="12">
        <v>44296</v>
      </c>
      <c r="F207" s="31">
        <v>340.95</v>
      </c>
      <c r="G207" s="13">
        <v>6</v>
      </c>
      <c r="H207" s="31">
        <f t="shared" si="3"/>
        <v>2045.6999999999998</v>
      </c>
    </row>
    <row r="208" spans="1:8" x14ac:dyDescent="0.3">
      <c r="A208" s="17" t="s">
        <v>8</v>
      </c>
      <c r="B208" s="10" t="s">
        <v>24</v>
      </c>
      <c r="C208" s="11" t="s">
        <v>17</v>
      </c>
      <c r="D208" s="10" t="s">
        <v>19</v>
      </c>
      <c r="E208" s="12">
        <v>43869</v>
      </c>
      <c r="F208" s="31">
        <v>79.989999999999995</v>
      </c>
      <c r="G208" s="13">
        <v>9</v>
      </c>
      <c r="H208" s="31">
        <f t="shared" si="3"/>
        <v>719.91</v>
      </c>
    </row>
    <row r="209" spans="1:8" x14ac:dyDescent="0.3">
      <c r="A209" s="17" t="s">
        <v>8</v>
      </c>
      <c r="B209" s="10" t="s">
        <v>27</v>
      </c>
      <c r="C209" s="11" t="s">
        <v>17</v>
      </c>
      <c r="D209" s="10" t="s">
        <v>18</v>
      </c>
      <c r="E209" s="12">
        <v>44088</v>
      </c>
      <c r="F209" s="31">
        <v>799.95</v>
      </c>
      <c r="G209" s="13">
        <v>13</v>
      </c>
      <c r="H209" s="31">
        <f t="shared" si="3"/>
        <v>10399.35</v>
      </c>
    </row>
    <row r="210" spans="1:8" x14ac:dyDescent="0.3">
      <c r="A210" s="9" t="s">
        <v>13</v>
      </c>
      <c r="B210" s="10" t="s">
        <v>26</v>
      </c>
      <c r="C210" s="11" t="s">
        <v>16</v>
      </c>
      <c r="D210" s="10" t="s">
        <v>20</v>
      </c>
      <c r="E210" s="12">
        <v>44176</v>
      </c>
      <c r="F210" s="31">
        <v>168.95</v>
      </c>
      <c r="G210" s="13">
        <v>5</v>
      </c>
      <c r="H210" s="31">
        <f t="shared" si="3"/>
        <v>844.75</v>
      </c>
    </row>
    <row r="211" spans="1:8" x14ac:dyDescent="0.3">
      <c r="A211" s="17" t="s">
        <v>10</v>
      </c>
      <c r="B211" s="10" t="s">
        <v>24</v>
      </c>
      <c r="C211" s="11" t="s">
        <v>16</v>
      </c>
      <c r="D211" s="10" t="s">
        <v>20</v>
      </c>
      <c r="E211" s="12">
        <v>44163</v>
      </c>
      <c r="F211" s="31">
        <v>79.989999999999995</v>
      </c>
      <c r="G211" s="13">
        <v>5</v>
      </c>
      <c r="H211" s="31">
        <f t="shared" si="3"/>
        <v>399.95</v>
      </c>
    </row>
    <row r="212" spans="1:8" x14ac:dyDescent="0.3">
      <c r="A212" s="9" t="s">
        <v>3</v>
      </c>
      <c r="B212" s="10" t="s">
        <v>25</v>
      </c>
      <c r="C212" s="11" t="s">
        <v>15</v>
      </c>
      <c r="D212" s="10" t="s">
        <v>20</v>
      </c>
      <c r="E212" s="12">
        <v>44217</v>
      </c>
      <c r="F212" s="31">
        <v>340.95</v>
      </c>
      <c r="G212" s="13">
        <v>8</v>
      </c>
      <c r="H212" s="31">
        <f t="shared" si="3"/>
        <v>2727.6</v>
      </c>
    </row>
    <row r="213" spans="1:8" x14ac:dyDescent="0.3">
      <c r="A213" s="17" t="s">
        <v>8</v>
      </c>
      <c r="B213" s="10" t="s">
        <v>27</v>
      </c>
      <c r="C213" s="11" t="s">
        <v>17</v>
      </c>
      <c r="D213" s="10" t="s">
        <v>20</v>
      </c>
      <c r="E213" s="12">
        <v>44519</v>
      </c>
      <c r="F213" s="31">
        <v>799.95</v>
      </c>
      <c r="G213" s="13">
        <v>3</v>
      </c>
      <c r="H213" s="31">
        <f t="shared" si="3"/>
        <v>2399.8500000000004</v>
      </c>
    </row>
    <row r="214" spans="1:8" x14ac:dyDescent="0.3">
      <c r="A214" s="9" t="s">
        <v>5</v>
      </c>
      <c r="B214" s="10" t="s">
        <v>24</v>
      </c>
      <c r="C214" s="11" t="s">
        <v>15</v>
      </c>
      <c r="D214" s="10" t="s">
        <v>19</v>
      </c>
      <c r="E214" s="12">
        <v>44073</v>
      </c>
      <c r="F214" s="31">
        <v>79.989999999999995</v>
      </c>
      <c r="G214" s="13">
        <v>12</v>
      </c>
      <c r="H214" s="31">
        <f t="shared" si="3"/>
        <v>959.87999999999988</v>
      </c>
    </row>
    <row r="215" spans="1:8" x14ac:dyDescent="0.3">
      <c r="A215" s="9" t="s">
        <v>13</v>
      </c>
      <c r="B215" s="10" t="s">
        <v>23</v>
      </c>
      <c r="C215" s="11" t="s">
        <v>16</v>
      </c>
      <c r="D215" s="10" t="s">
        <v>18</v>
      </c>
      <c r="E215" s="12">
        <v>44339</v>
      </c>
      <c r="F215" s="31">
        <v>340.95</v>
      </c>
      <c r="G215" s="13">
        <v>7</v>
      </c>
      <c r="H215" s="31">
        <f t="shared" si="3"/>
        <v>2386.65</v>
      </c>
    </row>
    <row r="216" spans="1:8" x14ac:dyDescent="0.3">
      <c r="A216" s="17" t="s">
        <v>6</v>
      </c>
      <c r="B216" s="10" t="s">
        <v>23</v>
      </c>
      <c r="C216" s="11" t="s">
        <v>14</v>
      </c>
      <c r="D216" s="10" t="s">
        <v>19</v>
      </c>
      <c r="E216" s="12">
        <v>44541</v>
      </c>
      <c r="F216" s="31">
        <v>340.95</v>
      </c>
      <c r="G216" s="13">
        <v>11</v>
      </c>
      <c r="H216" s="31">
        <f t="shared" si="3"/>
        <v>3750.45</v>
      </c>
    </row>
    <row r="217" spans="1:8" x14ac:dyDescent="0.3">
      <c r="A217" s="9" t="s">
        <v>3</v>
      </c>
      <c r="B217" s="10" t="s">
        <v>25</v>
      </c>
      <c r="C217" s="11" t="s">
        <v>15</v>
      </c>
      <c r="D217" s="10" t="s">
        <v>21</v>
      </c>
      <c r="E217" s="12">
        <v>44534</v>
      </c>
      <c r="F217" s="31">
        <v>340.95</v>
      </c>
      <c r="G217" s="13">
        <v>9</v>
      </c>
      <c r="H217" s="31">
        <f t="shared" si="3"/>
        <v>3068.5499999999997</v>
      </c>
    </row>
    <row r="218" spans="1:8" x14ac:dyDescent="0.3">
      <c r="A218" s="9" t="s">
        <v>3</v>
      </c>
      <c r="B218" s="10" t="s">
        <v>26</v>
      </c>
      <c r="C218" s="11" t="s">
        <v>15</v>
      </c>
      <c r="D218" s="10" t="s">
        <v>19</v>
      </c>
      <c r="E218" s="12">
        <v>44185</v>
      </c>
      <c r="F218" s="31">
        <v>168.95</v>
      </c>
      <c r="G218" s="13">
        <v>11</v>
      </c>
      <c r="H218" s="31">
        <f t="shared" si="3"/>
        <v>1858.4499999999998</v>
      </c>
    </row>
    <row r="219" spans="1:8" x14ac:dyDescent="0.3">
      <c r="A219" s="9" t="s">
        <v>7</v>
      </c>
      <c r="B219" s="10" t="s">
        <v>26</v>
      </c>
      <c r="C219" s="11" t="s">
        <v>17</v>
      </c>
      <c r="D219" s="10" t="s">
        <v>19</v>
      </c>
      <c r="E219" s="12">
        <v>44445</v>
      </c>
      <c r="F219" s="31">
        <v>168.95</v>
      </c>
      <c r="G219" s="13">
        <v>3</v>
      </c>
      <c r="H219" s="31">
        <f t="shared" si="3"/>
        <v>506.84999999999997</v>
      </c>
    </row>
    <row r="220" spans="1:8" x14ac:dyDescent="0.3">
      <c r="A220" s="17" t="s">
        <v>6</v>
      </c>
      <c r="B220" s="10" t="s">
        <v>25</v>
      </c>
      <c r="C220" s="11" t="s">
        <v>14</v>
      </c>
      <c r="D220" s="10" t="s">
        <v>19</v>
      </c>
      <c r="E220" s="12">
        <v>44252</v>
      </c>
      <c r="F220" s="31">
        <v>340.95</v>
      </c>
      <c r="G220" s="13">
        <v>6</v>
      </c>
      <c r="H220" s="31">
        <f t="shared" si="3"/>
        <v>2045.6999999999998</v>
      </c>
    </row>
    <row r="221" spans="1:8" x14ac:dyDescent="0.3">
      <c r="A221" s="9" t="s">
        <v>13</v>
      </c>
      <c r="B221" s="10" t="s">
        <v>27</v>
      </c>
      <c r="C221" s="11" t="s">
        <v>16</v>
      </c>
      <c r="D221" s="10" t="s">
        <v>19</v>
      </c>
      <c r="E221" s="12">
        <v>44512</v>
      </c>
      <c r="F221" s="31">
        <v>799.95</v>
      </c>
      <c r="G221" s="13">
        <v>1</v>
      </c>
      <c r="H221" s="31">
        <f t="shared" si="3"/>
        <v>799.95</v>
      </c>
    </row>
    <row r="222" spans="1:8" x14ac:dyDescent="0.3">
      <c r="A222" s="9" t="s">
        <v>3</v>
      </c>
      <c r="B222" s="10" t="s">
        <v>25</v>
      </c>
      <c r="C222" s="11" t="s">
        <v>15</v>
      </c>
      <c r="D222" s="10" t="s">
        <v>20</v>
      </c>
      <c r="E222" s="12">
        <v>44421</v>
      </c>
      <c r="F222" s="31">
        <v>340.95</v>
      </c>
      <c r="G222" s="13">
        <v>7</v>
      </c>
      <c r="H222" s="31">
        <f t="shared" si="3"/>
        <v>2386.65</v>
      </c>
    </row>
    <row r="223" spans="1:8" x14ac:dyDescent="0.3">
      <c r="A223" s="17" t="s">
        <v>10</v>
      </c>
      <c r="B223" s="10" t="s">
        <v>26</v>
      </c>
      <c r="C223" s="11" t="s">
        <v>16</v>
      </c>
      <c r="D223" s="10" t="s">
        <v>22</v>
      </c>
      <c r="E223" s="12">
        <v>44290</v>
      </c>
      <c r="F223" s="31">
        <v>168.95</v>
      </c>
      <c r="G223" s="13">
        <v>15</v>
      </c>
      <c r="H223" s="31">
        <f t="shared" si="3"/>
        <v>2534.25</v>
      </c>
    </row>
    <row r="224" spans="1:8" x14ac:dyDescent="0.3">
      <c r="A224" s="9" t="s">
        <v>9</v>
      </c>
      <c r="B224" s="10" t="s">
        <v>24</v>
      </c>
      <c r="C224" s="11" t="s">
        <v>15</v>
      </c>
      <c r="D224" s="10" t="s">
        <v>18</v>
      </c>
      <c r="E224" s="12">
        <v>43969</v>
      </c>
      <c r="F224" s="31">
        <v>79.989999999999995</v>
      </c>
      <c r="G224" s="13">
        <v>7</v>
      </c>
      <c r="H224" s="31">
        <f t="shared" si="3"/>
        <v>559.92999999999995</v>
      </c>
    </row>
    <row r="225" spans="1:8" x14ac:dyDescent="0.3">
      <c r="A225" s="9" t="s">
        <v>2</v>
      </c>
      <c r="B225" s="10" t="s">
        <v>24</v>
      </c>
      <c r="C225" s="11" t="s">
        <v>14</v>
      </c>
      <c r="D225" s="10" t="s">
        <v>21</v>
      </c>
      <c r="E225" s="12">
        <v>44171</v>
      </c>
      <c r="F225" s="31">
        <v>79.989999999999995</v>
      </c>
      <c r="G225" s="13">
        <v>3</v>
      </c>
      <c r="H225" s="31">
        <f t="shared" si="3"/>
        <v>239.96999999999997</v>
      </c>
    </row>
    <row r="226" spans="1:8" x14ac:dyDescent="0.3">
      <c r="A226" s="9" t="s">
        <v>3</v>
      </c>
      <c r="B226" s="10" t="s">
        <v>23</v>
      </c>
      <c r="C226" s="11" t="s">
        <v>15</v>
      </c>
      <c r="D226" s="10" t="s">
        <v>22</v>
      </c>
      <c r="E226" s="12">
        <v>43936</v>
      </c>
      <c r="F226" s="31">
        <v>340.95</v>
      </c>
      <c r="G226" s="13">
        <v>4</v>
      </c>
      <c r="H226" s="31">
        <f t="shared" si="3"/>
        <v>1363.8</v>
      </c>
    </row>
    <row r="227" spans="1:8" x14ac:dyDescent="0.3">
      <c r="A227" s="17" t="s">
        <v>12</v>
      </c>
      <c r="B227" s="10" t="s">
        <v>23</v>
      </c>
      <c r="C227" s="11" t="s">
        <v>15</v>
      </c>
      <c r="D227" s="10" t="s">
        <v>19</v>
      </c>
      <c r="E227" s="12">
        <v>44269</v>
      </c>
      <c r="F227" s="31">
        <v>340.95</v>
      </c>
      <c r="G227" s="13">
        <v>11</v>
      </c>
      <c r="H227" s="31">
        <f t="shared" si="3"/>
        <v>3750.45</v>
      </c>
    </row>
    <row r="228" spans="1:8" x14ac:dyDescent="0.3">
      <c r="A228" s="17" t="s">
        <v>8</v>
      </c>
      <c r="B228" s="10" t="s">
        <v>27</v>
      </c>
      <c r="C228" s="11" t="s">
        <v>17</v>
      </c>
      <c r="D228" s="10" t="s">
        <v>18</v>
      </c>
      <c r="E228" s="12">
        <v>44284</v>
      </c>
      <c r="F228" s="31">
        <v>799.95</v>
      </c>
      <c r="G228" s="13">
        <v>7</v>
      </c>
      <c r="H228" s="31">
        <f t="shared" si="3"/>
        <v>5599.6500000000005</v>
      </c>
    </row>
    <row r="229" spans="1:8" x14ac:dyDescent="0.3">
      <c r="A229" s="9" t="s">
        <v>7</v>
      </c>
      <c r="B229" s="10" t="s">
        <v>24</v>
      </c>
      <c r="C229" s="11" t="s">
        <v>17</v>
      </c>
      <c r="D229" s="10" t="s">
        <v>21</v>
      </c>
      <c r="E229" s="12">
        <v>43846</v>
      </c>
      <c r="F229" s="31">
        <v>79.989999999999995</v>
      </c>
      <c r="G229" s="13">
        <v>11</v>
      </c>
      <c r="H229" s="31">
        <f t="shared" si="3"/>
        <v>879.89</v>
      </c>
    </row>
    <row r="230" spans="1:8" x14ac:dyDescent="0.3">
      <c r="A230" s="9" t="s">
        <v>13</v>
      </c>
      <c r="B230" s="10" t="s">
        <v>23</v>
      </c>
      <c r="C230" s="11" t="s">
        <v>16</v>
      </c>
      <c r="D230" s="10" t="s">
        <v>22</v>
      </c>
      <c r="E230" s="12">
        <v>44505</v>
      </c>
      <c r="F230" s="31">
        <v>340.95</v>
      </c>
      <c r="G230" s="13">
        <v>8</v>
      </c>
      <c r="H230" s="31">
        <f t="shared" si="3"/>
        <v>2727.6</v>
      </c>
    </row>
    <row r="231" spans="1:8" x14ac:dyDescent="0.3">
      <c r="A231" s="9" t="s">
        <v>2</v>
      </c>
      <c r="B231" s="10" t="s">
        <v>26</v>
      </c>
      <c r="C231" s="11" t="s">
        <v>14</v>
      </c>
      <c r="D231" s="10" t="s">
        <v>21</v>
      </c>
      <c r="E231" s="12">
        <v>44400</v>
      </c>
      <c r="F231" s="31">
        <v>168.95</v>
      </c>
      <c r="G231" s="13">
        <v>2</v>
      </c>
      <c r="H231" s="31">
        <f t="shared" si="3"/>
        <v>337.9</v>
      </c>
    </row>
    <row r="232" spans="1:8" x14ac:dyDescent="0.3">
      <c r="A232" s="9" t="s">
        <v>7</v>
      </c>
      <c r="B232" s="10" t="s">
        <v>25</v>
      </c>
      <c r="C232" s="11" t="s">
        <v>17</v>
      </c>
      <c r="D232" s="10" t="s">
        <v>19</v>
      </c>
      <c r="E232" s="12">
        <v>44326</v>
      </c>
      <c r="F232" s="31">
        <v>340.95</v>
      </c>
      <c r="G232" s="13">
        <v>2</v>
      </c>
      <c r="H232" s="31">
        <f t="shared" si="3"/>
        <v>681.9</v>
      </c>
    </row>
    <row r="233" spans="1:8" x14ac:dyDescent="0.3">
      <c r="A233" s="17" t="s">
        <v>11</v>
      </c>
      <c r="B233" s="10" t="s">
        <v>23</v>
      </c>
      <c r="C233" s="11" t="s">
        <v>14</v>
      </c>
      <c r="D233" s="10" t="s">
        <v>20</v>
      </c>
      <c r="E233" s="12">
        <v>44210</v>
      </c>
      <c r="F233" s="31">
        <v>340.95</v>
      </c>
      <c r="G233" s="13">
        <v>1</v>
      </c>
      <c r="H233" s="31">
        <f t="shared" si="3"/>
        <v>340.95</v>
      </c>
    </row>
    <row r="234" spans="1:8" x14ac:dyDescent="0.3">
      <c r="A234" s="17" t="s">
        <v>4</v>
      </c>
      <c r="B234" s="10" t="s">
        <v>23</v>
      </c>
      <c r="C234" s="11" t="s">
        <v>14</v>
      </c>
      <c r="D234" s="10" t="s">
        <v>22</v>
      </c>
      <c r="E234" s="12">
        <v>44524</v>
      </c>
      <c r="F234" s="31">
        <v>340.95</v>
      </c>
      <c r="G234" s="13">
        <v>8</v>
      </c>
      <c r="H234" s="31">
        <f t="shared" si="3"/>
        <v>2727.6</v>
      </c>
    </row>
    <row r="235" spans="1:8" x14ac:dyDescent="0.3">
      <c r="A235" s="17" t="s">
        <v>8</v>
      </c>
      <c r="B235" s="10" t="s">
        <v>24</v>
      </c>
      <c r="C235" s="11" t="s">
        <v>17</v>
      </c>
      <c r="D235" s="10" t="s">
        <v>22</v>
      </c>
      <c r="E235" s="12">
        <v>44312</v>
      </c>
      <c r="F235" s="31">
        <v>79.989999999999995</v>
      </c>
      <c r="G235" s="13">
        <v>9</v>
      </c>
      <c r="H235" s="31">
        <f t="shared" si="3"/>
        <v>719.91</v>
      </c>
    </row>
    <row r="236" spans="1:8" x14ac:dyDescent="0.3">
      <c r="A236" s="17" t="s">
        <v>11</v>
      </c>
      <c r="B236" s="10" t="s">
        <v>27</v>
      </c>
      <c r="C236" s="11" t="s">
        <v>14</v>
      </c>
      <c r="D236" s="10" t="s">
        <v>20</v>
      </c>
      <c r="E236" s="12">
        <v>44259</v>
      </c>
      <c r="F236" s="31">
        <v>799.95</v>
      </c>
      <c r="G236" s="13">
        <v>13</v>
      </c>
      <c r="H236" s="31">
        <f t="shared" si="3"/>
        <v>10399.35</v>
      </c>
    </row>
    <row r="237" spans="1:8" x14ac:dyDescent="0.3">
      <c r="A237" s="17" t="s">
        <v>12</v>
      </c>
      <c r="B237" s="10" t="s">
        <v>27</v>
      </c>
      <c r="C237" s="11" t="s">
        <v>15</v>
      </c>
      <c r="D237" s="10" t="s">
        <v>18</v>
      </c>
      <c r="E237" s="12">
        <v>43846</v>
      </c>
      <c r="F237" s="31">
        <v>799.95</v>
      </c>
      <c r="G237" s="13">
        <v>6</v>
      </c>
      <c r="H237" s="31">
        <f t="shared" si="3"/>
        <v>4799.7000000000007</v>
      </c>
    </row>
    <row r="238" spans="1:8" x14ac:dyDescent="0.3">
      <c r="A238" s="9" t="s">
        <v>2</v>
      </c>
      <c r="B238" s="10" t="s">
        <v>25</v>
      </c>
      <c r="C238" s="11" t="s">
        <v>14</v>
      </c>
      <c r="D238" s="10" t="s">
        <v>20</v>
      </c>
      <c r="E238" s="12">
        <v>44197</v>
      </c>
      <c r="F238" s="31">
        <v>340.95</v>
      </c>
      <c r="G238" s="13">
        <v>8</v>
      </c>
      <c r="H238" s="31">
        <f t="shared" si="3"/>
        <v>2727.6</v>
      </c>
    </row>
    <row r="239" spans="1:8" x14ac:dyDescent="0.3">
      <c r="A239" s="9" t="s">
        <v>13</v>
      </c>
      <c r="B239" s="10" t="s">
        <v>27</v>
      </c>
      <c r="C239" s="11" t="s">
        <v>16</v>
      </c>
      <c r="D239" s="10" t="s">
        <v>18</v>
      </c>
      <c r="E239" s="12">
        <v>44186</v>
      </c>
      <c r="F239" s="31">
        <v>799.95</v>
      </c>
      <c r="G239" s="13">
        <v>11</v>
      </c>
      <c r="H239" s="31">
        <f t="shared" si="3"/>
        <v>8799.4500000000007</v>
      </c>
    </row>
    <row r="240" spans="1:8" x14ac:dyDescent="0.3">
      <c r="A240" s="17" t="s">
        <v>6</v>
      </c>
      <c r="B240" s="10" t="s">
        <v>24</v>
      </c>
      <c r="C240" s="11" t="s">
        <v>14</v>
      </c>
      <c r="D240" s="10" t="s">
        <v>21</v>
      </c>
      <c r="E240" s="12">
        <v>44420</v>
      </c>
      <c r="F240" s="31">
        <v>79.989999999999995</v>
      </c>
      <c r="G240" s="13">
        <v>13</v>
      </c>
      <c r="H240" s="31">
        <f t="shared" si="3"/>
        <v>1039.8699999999999</v>
      </c>
    </row>
    <row r="241" spans="1:8" x14ac:dyDescent="0.3">
      <c r="A241" s="9" t="s">
        <v>5</v>
      </c>
      <c r="B241" s="10" t="s">
        <v>23</v>
      </c>
      <c r="C241" s="11" t="s">
        <v>15</v>
      </c>
      <c r="D241" s="10" t="s">
        <v>18</v>
      </c>
      <c r="E241" s="12">
        <v>44553</v>
      </c>
      <c r="F241" s="31">
        <v>340.95</v>
      </c>
      <c r="G241" s="13">
        <v>20</v>
      </c>
      <c r="H241" s="31">
        <f t="shared" si="3"/>
        <v>6819</v>
      </c>
    </row>
    <row r="242" spans="1:8" x14ac:dyDescent="0.3">
      <c r="A242" s="9" t="s">
        <v>9</v>
      </c>
      <c r="B242" s="10" t="s">
        <v>23</v>
      </c>
      <c r="C242" s="11" t="s">
        <v>15</v>
      </c>
      <c r="D242" s="10" t="s">
        <v>18</v>
      </c>
      <c r="E242" s="12">
        <v>44044</v>
      </c>
      <c r="F242" s="31">
        <v>340.95</v>
      </c>
      <c r="G242" s="13">
        <v>11</v>
      </c>
      <c r="H242" s="31">
        <f t="shared" si="3"/>
        <v>3750.45</v>
      </c>
    </row>
    <row r="243" spans="1:8" x14ac:dyDescent="0.3">
      <c r="A243" s="17" t="s">
        <v>6</v>
      </c>
      <c r="B243" s="10" t="s">
        <v>25</v>
      </c>
      <c r="C243" s="11" t="s">
        <v>14</v>
      </c>
      <c r="D243" s="10" t="s">
        <v>21</v>
      </c>
      <c r="E243" s="12">
        <v>44269</v>
      </c>
      <c r="F243" s="31">
        <v>340.95</v>
      </c>
      <c r="G243" s="13">
        <v>13</v>
      </c>
      <c r="H243" s="31">
        <f t="shared" si="3"/>
        <v>4432.3499999999995</v>
      </c>
    </row>
    <row r="244" spans="1:8" x14ac:dyDescent="0.3">
      <c r="A244" s="17" t="s">
        <v>10</v>
      </c>
      <c r="B244" s="10" t="s">
        <v>27</v>
      </c>
      <c r="C244" s="11" t="s">
        <v>16</v>
      </c>
      <c r="D244" s="10" t="s">
        <v>22</v>
      </c>
      <c r="E244" s="12">
        <v>44218</v>
      </c>
      <c r="F244" s="31">
        <v>799.95</v>
      </c>
      <c r="G244" s="13">
        <v>10</v>
      </c>
      <c r="H244" s="31">
        <f t="shared" si="3"/>
        <v>7999.5</v>
      </c>
    </row>
    <row r="245" spans="1:8" x14ac:dyDescent="0.3">
      <c r="A245" s="17" t="s">
        <v>4</v>
      </c>
      <c r="B245" s="10" t="s">
        <v>27</v>
      </c>
      <c r="C245" s="11" t="s">
        <v>14</v>
      </c>
      <c r="D245" s="10" t="s">
        <v>18</v>
      </c>
      <c r="E245" s="12">
        <v>44340</v>
      </c>
      <c r="F245" s="31">
        <v>799.95</v>
      </c>
      <c r="G245" s="13">
        <v>7</v>
      </c>
      <c r="H245" s="31">
        <f t="shared" si="3"/>
        <v>5599.6500000000005</v>
      </c>
    </row>
    <row r="246" spans="1:8" x14ac:dyDescent="0.3">
      <c r="A246" s="9" t="s">
        <v>13</v>
      </c>
      <c r="B246" s="10" t="s">
        <v>25</v>
      </c>
      <c r="C246" s="11" t="s">
        <v>16</v>
      </c>
      <c r="D246" s="10" t="s">
        <v>19</v>
      </c>
      <c r="E246" s="12">
        <v>44430</v>
      </c>
      <c r="F246" s="31">
        <v>340.95</v>
      </c>
      <c r="G246" s="13">
        <v>1</v>
      </c>
      <c r="H246" s="31">
        <f t="shared" si="3"/>
        <v>340.95</v>
      </c>
    </row>
    <row r="247" spans="1:8" x14ac:dyDescent="0.3">
      <c r="A247" s="17" t="s">
        <v>8</v>
      </c>
      <c r="B247" s="10" t="s">
        <v>23</v>
      </c>
      <c r="C247" s="11" t="s">
        <v>17</v>
      </c>
      <c r="D247" s="10" t="s">
        <v>22</v>
      </c>
      <c r="E247" s="12">
        <v>44069</v>
      </c>
      <c r="F247" s="31">
        <v>340.95</v>
      </c>
      <c r="G247" s="13">
        <v>5</v>
      </c>
      <c r="H247" s="31">
        <f t="shared" si="3"/>
        <v>1704.75</v>
      </c>
    </row>
    <row r="248" spans="1:8" x14ac:dyDescent="0.3">
      <c r="A248" s="9" t="s">
        <v>7</v>
      </c>
      <c r="B248" s="10" t="s">
        <v>25</v>
      </c>
      <c r="C248" s="11" t="s">
        <v>17</v>
      </c>
      <c r="D248" s="10" t="s">
        <v>20</v>
      </c>
      <c r="E248" s="12">
        <v>44525</v>
      </c>
      <c r="F248" s="31">
        <v>340.95</v>
      </c>
      <c r="G248" s="13">
        <v>10</v>
      </c>
      <c r="H248" s="31">
        <f t="shared" si="3"/>
        <v>3409.5</v>
      </c>
    </row>
    <row r="249" spans="1:8" x14ac:dyDescent="0.3">
      <c r="A249" s="9" t="s">
        <v>2</v>
      </c>
      <c r="B249" s="10" t="s">
        <v>24</v>
      </c>
      <c r="C249" s="11" t="s">
        <v>14</v>
      </c>
      <c r="D249" s="10" t="s">
        <v>22</v>
      </c>
      <c r="E249" s="12">
        <v>43925</v>
      </c>
      <c r="F249" s="31">
        <v>79.989999999999995</v>
      </c>
      <c r="G249" s="13">
        <v>6</v>
      </c>
      <c r="H249" s="31">
        <f t="shared" si="3"/>
        <v>479.93999999999994</v>
      </c>
    </row>
    <row r="250" spans="1:8" x14ac:dyDescent="0.3">
      <c r="A250" s="17" t="s">
        <v>12</v>
      </c>
      <c r="B250" s="10" t="s">
        <v>27</v>
      </c>
      <c r="C250" s="11" t="s">
        <v>15</v>
      </c>
      <c r="D250" s="10" t="s">
        <v>22</v>
      </c>
      <c r="E250" s="12">
        <v>44357</v>
      </c>
      <c r="F250" s="31">
        <v>799.95</v>
      </c>
      <c r="G250" s="13">
        <v>3</v>
      </c>
      <c r="H250" s="31">
        <f t="shared" si="3"/>
        <v>2399.8500000000004</v>
      </c>
    </row>
    <row r="251" spans="1:8" x14ac:dyDescent="0.3">
      <c r="A251" s="9" t="s">
        <v>13</v>
      </c>
      <c r="B251" s="10" t="s">
        <v>25</v>
      </c>
      <c r="C251" s="11" t="s">
        <v>16</v>
      </c>
      <c r="D251" s="10" t="s">
        <v>19</v>
      </c>
      <c r="E251" s="12">
        <v>43903</v>
      </c>
      <c r="F251" s="31">
        <v>340.95</v>
      </c>
      <c r="G251" s="13">
        <v>2</v>
      </c>
      <c r="H251" s="31">
        <f t="shared" si="3"/>
        <v>681.9</v>
      </c>
    </row>
    <row r="252" spans="1:8" x14ac:dyDescent="0.3">
      <c r="A252" s="9" t="s">
        <v>3</v>
      </c>
      <c r="B252" s="10" t="s">
        <v>27</v>
      </c>
      <c r="C252" s="11" t="s">
        <v>15</v>
      </c>
      <c r="D252" s="10" t="s">
        <v>22</v>
      </c>
      <c r="E252" s="12">
        <v>43860</v>
      </c>
      <c r="F252" s="31">
        <v>799.95</v>
      </c>
      <c r="G252" s="13">
        <v>7</v>
      </c>
      <c r="H252" s="31">
        <f t="shared" si="3"/>
        <v>5599.6500000000005</v>
      </c>
    </row>
    <row r="253" spans="1:8" x14ac:dyDescent="0.3">
      <c r="A253" s="9" t="s">
        <v>2</v>
      </c>
      <c r="B253" s="10" t="s">
        <v>27</v>
      </c>
      <c r="C253" s="11" t="s">
        <v>14</v>
      </c>
      <c r="D253" s="10" t="s">
        <v>20</v>
      </c>
      <c r="E253" s="12">
        <v>44003</v>
      </c>
      <c r="F253" s="31">
        <v>799.95</v>
      </c>
      <c r="G253" s="13">
        <v>6</v>
      </c>
      <c r="H253" s="31">
        <f t="shared" si="3"/>
        <v>4799.7000000000007</v>
      </c>
    </row>
    <row r="254" spans="1:8" x14ac:dyDescent="0.3">
      <c r="A254" s="17" t="s">
        <v>4</v>
      </c>
      <c r="B254" s="10" t="s">
        <v>26</v>
      </c>
      <c r="C254" s="11" t="s">
        <v>14</v>
      </c>
      <c r="D254" s="10" t="s">
        <v>20</v>
      </c>
      <c r="E254" s="12">
        <v>44331</v>
      </c>
      <c r="F254" s="31">
        <v>168.95</v>
      </c>
      <c r="G254" s="13">
        <v>2</v>
      </c>
      <c r="H254" s="31">
        <f t="shared" si="3"/>
        <v>337.9</v>
      </c>
    </row>
    <row r="255" spans="1:8" x14ac:dyDescent="0.3">
      <c r="A255" s="17" t="s">
        <v>8</v>
      </c>
      <c r="B255" s="10" t="s">
        <v>23</v>
      </c>
      <c r="C255" s="11" t="s">
        <v>17</v>
      </c>
      <c r="D255" s="10" t="s">
        <v>19</v>
      </c>
      <c r="E255" s="12">
        <v>44049</v>
      </c>
      <c r="F255" s="31">
        <v>340.95</v>
      </c>
      <c r="G255" s="13">
        <v>4</v>
      </c>
      <c r="H255" s="31">
        <f t="shared" si="3"/>
        <v>1363.8</v>
      </c>
    </row>
    <row r="256" spans="1:8" x14ac:dyDescent="0.3">
      <c r="A256" s="9" t="s">
        <v>2</v>
      </c>
      <c r="B256" s="10" t="s">
        <v>23</v>
      </c>
      <c r="C256" s="11" t="s">
        <v>14</v>
      </c>
      <c r="D256" s="10" t="s">
        <v>19</v>
      </c>
      <c r="E256" s="12">
        <v>44062</v>
      </c>
      <c r="F256" s="31">
        <v>340.95</v>
      </c>
      <c r="G256" s="13">
        <v>10</v>
      </c>
      <c r="H256" s="31">
        <f t="shared" si="3"/>
        <v>3409.5</v>
      </c>
    </row>
    <row r="257" spans="1:8" x14ac:dyDescent="0.3">
      <c r="A257" s="9" t="s">
        <v>13</v>
      </c>
      <c r="B257" s="10" t="s">
        <v>23</v>
      </c>
      <c r="C257" s="11" t="s">
        <v>16</v>
      </c>
      <c r="D257" s="10" t="s">
        <v>21</v>
      </c>
      <c r="E257" s="12">
        <v>44249</v>
      </c>
      <c r="F257" s="31">
        <v>340.95</v>
      </c>
      <c r="G257" s="13">
        <v>6</v>
      </c>
      <c r="H257" s="31">
        <f t="shared" si="3"/>
        <v>2045.6999999999998</v>
      </c>
    </row>
    <row r="258" spans="1:8" x14ac:dyDescent="0.3">
      <c r="A258" s="9" t="s">
        <v>3</v>
      </c>
      <c r="B258" s="10" t="s">
        <v>24</v>
      </c>
      <c r="C258" s="11" t="s">
        <v>15</v>
      </c>
      <c r="D258" s="10" t="s">
        <v>18</v>
      </c>
      <c r="E258" s="12">
        <v>44195</v>
      </c>
      <c r="F258" s="31">
        <v>79.989999999999995</v>
      </c>
      <c r="G258" s="13">
        <v>20</v>
      </c>
      <c r="H258" s="31">
        <f t="shared" ref="H258:H321" si="4">F258*G258</f>
        <v>1599.8</v>
      </c>
    </row>
    <row r="259" spans="1:8" x14ac:dyDescent="0.3">
      <c r="A259" s="17" t="s">
        <v>6</v>
      </c>
      <c r="B259" s="10" t="s">
        <v>23</v>
      </c>
      <c r="C259" s="11" t="s">
        <v>14</v>
      </c>
      <c r="D259" s="10" t="s">
        <v>21</v>
      </c>
      <c r="E259" s="12">
        <v>44536</v>
      </c>
      <c r="F259" s="31">
        <v>340.95</v>
      </c>
      <c r="G259" s="13">
        <v>12</v>
      </c>
      <c r="H259" s="31">
        <f t="shared" si="4"/>
        <v>4091.3999999999996</v>
      </c>
    </row>
    <row r="260" spans="1:8" x14ac:dyDescent="0.3">
      <c r="A260" s="17" t="s">
        <v>11</v>
      </c>
      <c r="B260" s="10" t="s">
        <v>26</v>
      </c>
      <c r="C260" s="11" t="s">
        <v>14</v>
      </c>
      <c r="D260" s="10" t="s">
        <v>21</v>
      </c>
      <c r="E260" s="12">
        <v>44554</v>
      </c>
      <c r="F260" s="31">
        <v>168.95</v>
      </c>
      <c r="G260" s="13">
        <v>3</v>
      </c>
      <c r="H260" s="31">
        <f t="shared" si="4"/>
        <v>506.84999999999997</v>
      </c>
    </row>
    <row r="261" spans="1:8" x14ac:dyDescent="0.3">
      <c r="A261" s="9" t="s">
        <v>13</v>
      </c>
      <c r="B261" s="10" t="s">
        <v>25</v>
      </c>
      <c r="C261" s="11" t="s">
        <v>16</v>
      </c>
      <c r="D261" s="10" t="s">
        <v>21</v>
      </c>
      <c r="E261" s="12">
        <v>43858</v>
      </c>
      <c r="F261" s="31">
        <v>340.95</v>
      </c>
      <c r="G261" s="13">
        <v>13</v>
      </c>
      <c r="H261" s="31">
        <f t="shared" si="4"/>
        <v>4432.3499999999995</v>
      </c>
    </row>
    <row r="262" spans="1:8" x14ac:dyDescent="0.3">
      <c r="A262" s="17" t="s">
        <v>4</v>
      </c>
      <c r="B262" s="10" t="s">
        <v>27</v>
      </c>
      <c r="C262" s="11" t="s">
        <v>14</v>
      </c>
      <c r="D262" s="10" t="s">
        <v>20</v>
      </c>
      <c r="E262" s="12">
        <v>44227</v>
      </c>
      <c r="F262" s="31">
        <v>799.95</v>
      </c>
      <c r="G262" s="13">
        <v>15</v>
      </c>
      <c r="H262" s="31">
        <f t="shared" si="4"/>
        <v>11999.25</v>
      </c>
    </row>
    <row r="263" spans="1:8" x14ac:dyDescent="0.3">
      <c r="A263" s="9" t="s">
        <v>9</v>
      </c>
      <c r="B263" s="10" t="s">
        <v>24</v>
      </c>
      <c r="C263" s="11" t="s">
        <v>15</v>
      </c>
      <c r="D263" s="10" t="s">
        <v>22</v>
      </c>
      <c r="E263" s="12">
        <v>43986</v>
      </c>
      <c r="F263" s="31">
        <v>79.989999999999995</v>
      </c>
      <c r="G263" s="13">
        <v>12</v>
      </c>
      <c r="H263" s="31">
        <f t="shared" si="4"/>
        <v>959.87999999999988</v>
      </c>
    </row>
    <row r="264" spans="1:8" x14ac:dyDescent="0.3">
      <c r="A264" s="17" t="s">
        <v>11</v>
      </c>
      <c r="B264" s="10" t="s">
        <v>23</v>
      </c>
      <c r="C264" s="11" t="s">
        <v>14</v>
      </c>
      <c r="D264" s="10" t="s">
        <v>21</v>
      </c>
      <c r="E264" s="12">
        <v>44420</v>
      </c>
      <c r="F264" s="31">
        <v>340.95</v>
      </c>
      <c r="G264" s="13">
        <v>13</v>
      </c>
      <c r="H264" s="31">
        <f t="shared" si="4"/>
        <v>4432.3499999999995</v>
      </c>
    </row>
    <row r="265" spans="1:8" x14ac:dyDescent="0.3">
      <c r="A265" s="17" t="s">
        <v>8</v>
      </c>
      <c r="B265" s="10" t="s">
        <v>24</v>
      </c>
      <c r="C265" s="11" t="s">
        <v>17</v>
      </c>
      <c r="D265" s="10" t="s">
        <v>20</v>
      </c>
      <c r="E265" s="12">
        <v>44322</v>
      </c>
      <c r="F265" s="31">
        <v>79.989999999999995</v>
      </c>
      <c r="G265" s="13">
        <v>7</v>
      </c>
      <c r="H265" s="31">
        <f t="shared" si="4"/>
        <v>559.92999999999995</v>
      </c>
    </row>
    <row r="266" spans="1:8" x14ac:dyDescent="0.3">
      <c r="A266" s="17" t="s">
        <v>4</v>
      </c>
      <c r="B266" s="10" t="s">
        <v>23</v>
      </c>
      <c r="C266" s="11" t="s">
        <v>14</v>
      </c>
      <c r="D266" s="10" t="s">
        <v>22</v>
      </c>
      <c r="E266" s="12">
        <v>43888</v>
      </c>
      <c r="F266" s="31">
        <v>340.95</v>
      </c>
      <c r="G266" s="13">
        <v>14</v>
      </c>
      <c r="H266" s="31">
        <f t="shared" si="4"/>
        <v>4773.3</v>
      </c>
    </row>
    <row r="267" spans="1:8" x14ac:dyDescent="0.3">
      <c r="A267" s="9" t="s">
        <v>2</v>
      </c>
      <c r="B267" s="10" t="s">
        <v>24</v>
      </c>
      <c r="C267" s="11" t="s">
        <v>14</v>
      </c>
      <c r="D267" s="10" t="s">
        <v>18</v>
      </c>
      <c r="E267" s="12">
        <v>43876</v>
      </c>
      <c r="F267" s="31">
        <v>79.989999999999995</v>
      </c>
      <c r="G267" s="13">
        <v>17</v>
      </c>
      <c r="H267" s="31">
        <f t="shared" si="4"/>
        <v>1359.83</v>
      </c>
    </row>
    <row r="268" spans="1:8" x14ac:dyDescent="0.3">
      <c r="A268" s="9" t="s">
        <v>3</v>
      </c>
      <c r="B268" s="10" t="s">
        <v>23</v>
      </c>
      <c r="C268" s="11" t="s">
        <v>15</v>
      </c>
      <c r="D268" s="10" t="s">
        <v>21</v>
      </c>
      <c r="E268" s="12">
        <v>43852</v>
      </c>
      <c r="F268" s="31">
        <v>340.95</v>
      </c>
      <c r="G268" s="13">
        <v>4</v>
      </c>
      <c r="H268" s="31">
        <f t="shared" si="4"/>
        <v>1363.8</v>
      </c>
    </row>
    <row r="269" spans="1:8" x14ac:dyDescent="0.3">
      <c r="A269" s="17" t="s">
        <v>10</v>
      </c>
      <c r="B269" s="10" t="s">
        <v>23</v>
      </c>
      <c r="C269" s="11" t="s">
        <v>16</v>
      </c>
      <c r="D269" s="10" t="s">
        <v>19</v>
      </c>
      <c r="E269" s="12">
        <v>44462</v>
      </c>
      <c r="F269" s="31">
        <v>340.95</v>
      </c>
      <c r="G269" s="13">
        <v>6</v>
      </c>
      <c r="H269" s="31">
        <f t="shared" si="4"/>
        <v>2045.6999999999998</v>
      </c>
    </row>
    <row r="270" spans="1:8" x14ac:dyDescent="0.3">
      <c r="A270" s="17" t="s">
        <v>6</v>
      </c>
      <c r="B270" s="10" t="s">
        <v>27</v>
      </c>
      <c r="C270" s="11" t="s">
        <v>14</v>
      </c>
      <c r="D270" s="10" t="s">
        <v>18</v>
      </c>
      <c r="E270" s="12">
        <v>44220</v>
      </c>
      <c r="F270" s="31">
        <v>799.95</v>
      </c>
      <c r="G270" s="13">
        <v>15</v>
      </c>
      <c r="H270" s="31">
        <f t="shared" si="4"/>
        <v>11999.25</v>
      </c>
    </row>
    <row r="271" spans="1:8" x14ac:dyDescent="0.3">
      <c r="A271" s="17" t="s">
        <v>12</v>
      </c>
      <c r="B271" s="10" t="s">
        <v>24</v>
      </c>
      <c r="C271" s="11" t="s">
        <v>15</v>
      </c>
      <c r="D271" s="10" t="s">
        <v>21</v>
      </c>
      <c r="E271" s="12">
        <v>44028</v>
      </c>
      <c r="F271" s="31">
        <v>79.989999999999995</v>
      </c>
      <c r="G271" s="13">
        <v>2</v>
      </c>
      <c r="H271" s="31">
        <f t="shared" si="4"/>
        <v>159.97999999999999</v>
      </c>
    </row>
    <row r="272" spans="1:8" x14ac:dyDescent="0.3">
      <c r="A272" s="9" t="s">
        <v>3</v>
      </c>
      <c r="B272" s="10" t="s">
        <v>25</v>
      </c>
      <c r="C272" s="11" t="s">
        <v>15</v>
      </c>
      <c r="D272" s="10" t="s">
        <v>20</v>
      </c>
      <c r="E272" s="12">
        <v>43927</v>
      </c>
      <c r="F272" s="31">
        <v>340.95</v>
      </c>
      <c r="G272" s="13">
        <v>5</v>
      </c>
      <c r="H272" s="31">
        <f t="shared" si="4"/>
        <v>1704.75</v>
      </c>
    </row>
    <row r="273" spans="1:8" x14ac:dyDescent="0.3">
      <c r="A273" s="9" t="s">
        <v>2</v>
      </c>
      <c r="B273" s="10" t="s">
        <v>25</v>
      </c>
      <c r="C273" s="11" t="s">
        <v>14</v>
      </c>
      <c r="D273" s="10" t="s">
        <v>20</v>
      </c>
      <c r="E273" s="12">
        <v>44438</v>
      </c>
      <c r="F273" s="31">
        <v>340.95</v>
      </c>
      <c r="G273" s="13">
        <v>7</v>
      </c>
      <c r="H273" s="31">
        <f t="shared" si="4"/>
        <v>2386.65</v>
      </c>
    </row>
    <row r="274" spans="1:8" x14ac:dyDescent="0.3">
      <c r="A274" s="9" t="s">
        <v>7</v>
      </c>
      <c r="B274" s="10" t="s">
        <v>26</v>
      </c>
      <c r="C274" s="11" t="s">
        <v>17</v>
      </c>
      <c r="D274" s="10" t="s">
        <v>18</v>
      </c>
      <c r="E274" s="12">
        <v>43845</v>
      </c>
      <c r="F274" s="31">
        <v>168.95</v>
      </c>
      <c r="G274" s="13">
        <v>11</v>
      </c>
      <c r="H274" s="31">
        <f t="shared" si="4"/>
        <v>1858.4499999999998</v>
      </c>
    </row>
    <row r="275" spans="1:8" x14ac:dyDescent="0.3">
      <c r="A275" s="9" t="s">
        <v>7</v>
      </c>
      <c r="B275" s="10" t="s">
        <v>24</v>
      </c>
      <c r="C275" s="11" t="s">
        <v>17</v>
      </c>
      <c r="D275" s="10" t="s">
        <v>18</v>
      </c>
      <c r="E275" s="12">
        <v>43838</v>
      </c>
      <c r="F275" s="31">
        <v>79.989999999999995</v>
      </c>
      <c r="G275" s="13">
        <v>12</v>
      </c>
      <c r="H275" s="31">
        <f t="shared" si="4"/>
        <v>959.87999999999988</v>
      </c>
    </row>
    <row r="276" spans="1:8" x14ac:dyDescent="0.3">
      <c r="A276" s="17" t="s">
        <v>12</v>
      </c>
      <c r="B276" s="10" t="s">
        <v>27</v>
      </c>
      <c r="C276" s="11" t="s">
        <v>15</v>
      </c>
      <c r="D276" s="10" t="s">
        <v>21</v>
      </c>
      <c r="E276" s="12">
        <v>44032</v>
      </c>
      <c r="F276" s="31">
        <v>799.95</v>
      </c>
      <c r="G276" s="13">
        <v>14</v>
      </c>
      <c r="H276" s="31">
        <f t="shared" si="4"/>
        <v>11199.300000000001</v>
      </c>
    </row>
    <row r="277" spans="1:8" x14ac:dyDescent="0.3">
      <c r="A277" s="9" t="s">
        <v>9</v>
      </c>
      <c r="B277" s="10" t="s">
        <v>24</v>
      </c>
      <c r="C277" s="11" t="s">
        <v>15</v>
      </c>
      <c r="D277" s="10" t="s">
        <v>21</v>
      </c>
      <c r="E277" s="12">
        <v>44083</v>
      </c>
      <c r="F277" s="31">
        <v>79.989999999999995</v>
      </c>
      <c r="G277" s="13">
        <v>13</v>
      </c>
      <c r="H277" s="31">
        <f t="shared" si="4"/>
        <v>1039.8699999999999</v>
      </c>
    </row>
    <row r="278" spans="1:8" x14ac:dyDescent="0.3">
      <c r="A278" s="9" t="s">
        <v>13</v>
      </c>
      <c r="B278" s="10" t="s">
        <v>23</v>
      </c>
      <c r="C278" s="11" t="s">
        <v>16</v>
      </c>
      <c r="D278" s="10" t="s">
        <v>20</v>
      </c>
      <c r="E278" s="12">
        <v>44427</v>
      </c>
      <c r="F278" s="31">
        <v>340.95</v>
      </c>
      <c r="G278" s="13">
        <v>1</v>
      </c>
      <c r="H278" s="31">
        <f t="shared" si="4"/>
        <v>340.95</v>
      </c>
    </row>
    <row r="279" spans="1:8" x14ac:dyDescent="0.3">
      <c r="A279" s="9" t="s">
        <v>7</v>
      </c>
      <c r="B279" s="10" t="s">
        <v>27</v>
      </c>
      <c r="C279" s="11" t="s">
        <v>17</v>
      </c>
      <c r="D279" s="10" t="s">
        <v>20</v>
      </c>
      <c r="E279" s="12">
        <v>44140</v>
      </c>
      <c r="F279" s="31">
        <v>799.95</v>
      </c>
      <c r="G279" s="13">
        <v>7</v>
      </c>
      <c r="H279" s="31">
        <f t="shared" si="4"/>
        <v>5599.6500000000005</v>
      </c>
    </row>
    <row r="280" spans="1:8" x14ac:dyDescent="0.3">
      <c r="A280" s="17" t="s">
        <v>4</v>
      </c>
      <c r="B280" s="10" t="s">
        <v>26</v>
      </c>
      <c r="C280" s="11" t="s">
        <v>14</v>
      </c>
      <c r="D280" s="10" t="s">
        <v>19</v>
      </c>
      <c r="E280" s="12">
        <v>43967</v>
      </c>
      <c r="F280" s="31">
        <v>168.95</v>
      </c>
      <c r="G280" s="13">
        <v>15</v>
      </c>
      <c r="H280" s="31">
        <f t="shared" si="4"/>
        <v>2534.25</v>
      </c>
    </row>
    <row r="281" spans="1:8" x14ac:dyDescent="0.3">
      <c r="A281" s="9" t="s">
        <v>9</v>
      </c>
      <c r="B281" s="10" t="s">
        <v>24</v>
      </c>
      <c r="C281" s="11" t="s">
        <v>15</v>
      </c>
      <c r="D281" s="10" t="s">
        <v>22</v>
      </c>
      <c r="E281" s="12">
        <v>44021</v>
      </c>
      <c r="F281" s="31">
        <v>79.989999999999995</v>
      </c>
      <c r="G281" s="13">
        <v>12</v>
      </c>
      <c r="H281" s="31">
        <f t="shared" si="4"/>
        <v>959.87999999999988</v>
      </c>
    </row>
    <row r="282" spans="1:8" x14ac:dyDescent="0.3">
      <c r="A282" s="9" t="s">
        <v>3</v>
      </c>
      <c r="B282" s="10" t="s">
        <v>24</v>
      </c>
      <c r="C282" s="11" t="s">
        <v>15</v>
      </c>
      <c r="D282" s="10" t="s">
        <v>18</v>
      </c>
      <c r="E282" s="12">
        <v>44335</v>
      </c>
      <c r="F282" s="31">
        <v>79.989999999999995</v>
      </c>
      <c r="G282" s="13">
        <v>17</v>
      </c>
      <c r="H282" s="31">
        <f t="shared" si="4"/>
        <v>1359.83</v>
      </c>
    </row>
    <row r="283" spans="1:8" x14ac:dyDescent="0.3">
      <c r="A283" s="9" t="s">
        <v>7</v>
      </c>
      <c r="B283" s="10" t="s">
        <v>26</v>
      </c>
      <c r="C283" s="11" t="s">
        <v>17</v>
      </c>
      <c r="D283" s="10" t="s">
        <v>20</v>
      </c>
      <c r="E283" s="12">
        <v>44477</v>
      </c>
      <c r="F283" s="31">
        <v>168.95</v>
      </c>
      <c r="G283" s="13">
        <v>14</v>
      </c>
      <c r="H283" s="31">
        <f t="shared" si="4"/>
        <v>2365.2999999999997</v>
      </c>
    </row>
    <row r="284" spans="1:8" x14ac:dyDescent="0.3">
      <c r="A284" s="17" t="s">
        <v>8</v>
      </c>
      <c r="B284" s="10" t="s">
        <v>26</v>
      </c>
      <c r="C284" s="11" t="s">
        <v>17</v>
      </c>
      <c r="D284" s="10" t="s">
        <v>19</v>
      </c>
      <c r="E284" s="12">
        <v>44203</v>
      </c>
      <c r="F284" s="31">
        <v>168.95</v>
      </c>
      <c r="G284" s="13">
        <v>15</v>
      </c>
      <c r="H284" s="31">
        <f t="shared" si="4"/>
        <v>2534.25</v>
      </c>
    </row>
    <row r="285" spans="1:8" x14ac:dyDescent="0.3">
      <c r="A285" s="9" t="s">
        <v>9</v>
      </c>
      <c r="B285" s="10" t="s">
        <v>24</v>
      </c>
      <c r="C285" s="11" t="s">
        <v>15</v>
      </c>
      <c r="D285" s="10" t="s">
        <v>21</v>
      </c>
      <c r="E285" s="12">
        <v>43931</v>
      </c>
      <c r="F285" s="31">
        <v>79.989999999999995</v>
      </c>
      <c r="G285" s="13">
        <v>13</v>
      </c>
      <c r="H285" s="31">
        <f t="shared" si="4"/>
        <v>1039.8699999999999</v>
      </c>
    </row>
    <row r="286" spans="1:8" x14ac:dyDescent="0.3">
      <c r="A286" s="9" t="s">
        <v>3</v>
      </c>
      <c r="B286" s="10" t="s">
        <v>26</v>
      </c>
      <c r="C286" s="11" t="s">
        <v>15</v>
      </c>
      <c r="D286" s="10" t="s">
        <v>18</v>
      </c>
      <c r="E286" s="12">
        <v>44382</v>
      </c>
      <c r="F286" s="31">
        <v>168.95</v>
      </c>
      <c r="G286" s="13">
        <v>8</v>
      </c>
      <c r="H286" s="31">
        <f t="shared" si="4"/>
        <v>1351.6</v>
      </c>
    </row>
    <row r="287" spans="1:8" x14ac:dyDescent="0.3">
      <c r="A287" s="9" t="s">
        <v>5</v>
      </c>
      <c r="B287" s="10" t="s">
        <v>23</v>
      </c>
      <c r="C287" s="11" t="s">
        <v>15</v>
      </c>
      <c r="D287" s="10" t="s">
        <v>22</v>
      </c>
      <c r="E287" s="12">
        <v>44001</v>
      </c>
      <c r="F287" s="31">
        <v>340.95</v>
      </c>
      <c r="G287" s="13">
        <v>14</v>
      </c>
      <c r="H287" s="31">
        <f t="shared" si="4"/>
        <v>4773.3</v>
      </c>
    </row>
    <row r="288" spans="1:8" x14ac:dyDescent="0.3">
      <c r="A288" s="17" t="s">
        <v>4</v>
      </c>
      <c r="B288" s="10" t="s">
        <v>23</v>
      </c>
      <c r="C288" s="11" t="s">
        <v>14</v>
      </c>
      <c r="D288" s="10" t="s">
        <v>19</v>
      </c>
      <c r="E288" s="12">
        <v>44245</v>
      </c>
      <c r="F288" s="31">
        <v>340.95</v>
      </c>
      <c r="G288" s="13">
        <v>2</v>
      </c>
      <c r="H288" s="31">
        <f t="shared" si="4"/>
        <v>681.9</v>
      </c>
    </row>
    <row r="289" spans="1:8" x14ac:dyDescent="0.3">
      <c r="A289" s="9" t="s">
        <v>13</v>
      </c>
      <c r="B289" s="10" t="s">
        <v>25</v>
      </c>
      <c r="C289" s="11" t="s">
        <v>16</v>
      </c>
      <c r="D289" s="10" t="s">
        <v>18</v>
      </c>
      <c r="E289" s="12">
        <v>44333</v>
      </c>
      <c r="F289" s="31">
        <v>340.95</v>
      </c>
      <c r="G289" s="13">
        <v>11</v>
      </c>
      <c r="H289" s="31">
        <f t="shared" si="4"/>
        <v>3750.45</v>
      </c>
    </row>
    <row r="290" spans="1:8" x14ac:dyDescent="0.3">
      <c r="A290" s="17" t="s">
        <v>12</v>
      </c>
      <c r="B290" s="10" t="s">
        <v>24</v>
      </c>
      <c r="C290" s="11" t="s">
        <v>15</v>
      </c>
      <c r="D290" s="10" t="s">
        <v>19</v>
      </c>
      <c r="E290" s="12">
        <v>44254</v>
      </c>
      <c r="F290" s="31">
        <v>79.989999999999995</v>
      </c>
      <c r="G290" s="13">
        <v>6</v>
      </c>
      <c r="H290" s="31">
        <f t="shared" si="4"/>
        <v>479.93999999999994</v>
      </c>
    </row>
    <row r="291" spans="1:8" x14ac:dyDescent="0.3">
      <c r="A291" s="17" t="s">
        <v>4</v>
      </c>
      <c r="B291" s="10" t="s">
        <v>27</v>
      </c>
      <c r="C291" s="11" t="s">
        <v>14</v>
      </c>
      <c r="D291" s="10" t="s">
        <v>18</v>
      </c>
      <c r="E291" s="12">
        <v>44503</v>
      </c>
      <c r="F291" s="31">
        <v>799.95</v>
      </c>
      <c r="G291" s="13">
        <v>8</v>
      </c>
      <c r="H291" s="31">
        <f t="shared" si="4"/>
        <v>6399.6</v>
      </c>
    </row>
    <row r="292" spans="1:8" x14ac:dyDescent="0.3">
      <c r="A292" s="17" t="s">
        <v>12</v>
      </c>
      <c r="B292" s="10" t="s">
        <v>27</v>
      </c>
      <c r="C292" s="11" t="s">
        <v>15</v>
      </c>
      <c r="D292" s="10" t="s">
        <v>20</v>
      </c>
      <c r="E292" s="12">
        <v>44007</v>
      </c>
      <c r="F292" s="31">
        <v>799.95</v>
      </c>
      <c r="G292" s="13">
        <v>9</v>
      </c>
      <c r="H292" s="31">
        <f t="shared" si="4"/>
        <v>7199.55</v>
      </c>
    </row>
    <row r="293" spans="1:8" x14ac:dyDescent="0.3">
      <c r="A293" s="17" t="s">
        <v>11</v>
      </c>
      <c r="B293" s="10" t="s">
        <v>25</v>
      </c>
      <c r="C293" s="11" t="s">
        <v>14</v>
      </c>
      <c r="D293" s="10" t="s">
        <v>22</v>
      </c>
      <c r="E293" s="12">
        <v>44543</v>
      </c>
      <c r="F293" s="31">
        <v>340.95</v>
      </c>
      <c r="G293" s="13">
        <v>14</v>
      </c>
      <c r="H293" s="31">
        <f t="shared" si="4"/>
        <v>4773.3</v>
      </c>
    </row>
    <row r="294" spans="1:8" x14ac:dyDescent="0.3">
      <c r="A294" s="17" t="s">
        <v>8</v>
      </c>
      <c r="B294" s="10" t="s">
        <v>23</v>
      </c>
      <c r="C294" s="11" t="s">
        <v>17</v>
      </c>
      <c r="D294" s="10" t="s">
        <v>22</v>
      </c>
      <c r="E294" s="12">
        <v>44193</v>
      </c>
      <c r="F294" s="31">
        <v>340.95</v>
      </c>
      <c r="G294" s="13">
        <v>9</v>
      </c>
      <c r="H294" s="31">
        <f t="shared" si="4"/>
        <v>3068.5499999999997</v>
      </c>
    </row>
    <row r="295" spans="1:8" x14ac:dyDescent="0.3">
      <c r="A295" s="9" t="s">
        <v>9</v>
      </c>
      <c r="B295" s="10" t="s">
        <v>23</v>
      </c>
      <c r="C295" s="11" t="s">
        <v>15</v>
      </c>
      <c r="D295" s="10" t="s">
        <v>20</v>
      </c>
      <c r="E295" s="12">
        <v>44009</v>
      </c>
      <c r="F295" s="31">
        <v>340.95</v>
      </c>
      <c r="G295" s="13">
        <v>15</v>
      </c>
      <c r="H295" s="31">
        <f t="shared" si="4"/>
        <v>5114.25</v>
      </c>
    </row>
    <row r="296" spans="1:8" x14ac:dyDescent="0.3">
      <c r="A296" s="17" t="s">
        <v>11</v>
      </c>
      <c r="B296" s="10" t="s">
        <v>24</v>
      </c>
      <c r="C296" s="11" t="s">
        <v>14</v>
      </c>
      <c r="D296" s="10" t="s">
        <v>20</v>
      </c>
      <c r="E296" s="12">
        <v>44154</v>
      </c>
      <c r="F296" s="31">
        <v>79.989999999999995</v>
      </c>
      <c r="G296" s="13">
        <v>10</v>
      </c>
      <c r="H296" s="31">
        <f t="shared" si="4"/>
        <v>799.9</v>
      </c>
    </row>
    <row r="297" spans="1:8" x14ac:dyDescent="0.3">
      <c r="A297" s="9" t="s">
        <v>2</v>
      </c>
      <c r="B297" s="10" t="s">
        <v>25</v>
      </c>
      <c r="C297" s="11" t="s">
        <v>14</v>
      </c>
      <c r="D297" s="10" t="s">
        <v>20</v>
      </c>
      <c r="E297" s="12">
        <v>44157</v>
      </c>
      <c r="F297" s="31">
        <v>340.95</v>
      </c>
      <c r="G297" s="13">
        <v>15</v>
      </c>
      <c r="H297" s="31">
        <f t="shared" si="4"/>
        <v>5114.25</v>
      </c>
    </row>
    <row r="298" spans="1:8" x14ac:dyDescent="0.3">
      <c r="A298" s="9" t="s">
        <v>3</v>
      </c>
      <c r="B298" s="10" t="s">
        <v>25</v>
      </c>
      <c r="C298" s="11" t="s">
        <v>15</v>
      </c>
      <c r="D298" s="10" t="s">
        <v>22</v>
      </c>
      <c r="E298" s="12">
        <v>43862</v>
      </c>
      <c r="F298" s="31">
        <v>340.95</v>
      </c>
      <c r="G298" s="13">
        <v>6</v>
      </c>
      <c r="H298" s="31">
        <f t="shared" si="4"/>
        <v>2045.6999999999998</v>
      </c>
    </row>
    <row r="299" spans="1:8" x14ac:dyDescent="0.3">
      <c r="A299" s="17" t="s">
        <v>11</v>
      </c>
      <c r="B299" s="10" t="s">
        <v>23</v>
      </c>
      <c r="C299" s="11" t="s">
        <v>14</v>
      </c>
      <c r="D299" s="10" t="s">
        <v>21</v>
      </c>
      <c r="E299" s="12">
        <v>44037</v>
      </c>
      <c r="F299" s="31">
        <v>340.95</v>
      </c>
      <c r="G299" s="13">
        <v>14</v>
      </c>
      <c r="H299" s="31">
        <f t="shared" si="4"/>
        <v>4773.3</v>
      </c>
    </row>
    <row r="300" spans="1:8" x14ac:dyDescent="0.3">
      <c r="A300" s="9" t="s">
        <v>2</v>
      </c>
      <c r="B300" s="10" t="s">
        <v>26</v>
      </c>
      <c r="C300" s="11" t="s">
        <v>14</v>
      </c>
      <c r="D300" s="10" t="s">
        <v>18</v>
      </c>
      <c r="E300" s="12">
        <v>44262</v>
      </c>
      <c r="F300" s="31">
        <v>168.95</v>
      </c>
      <c r="G300" s="13">
        <v>8</v>
      </c>
      <c r="H300" s="31">
        <f t="shared" si="4"/>
        <v>1351.6</v>
      </c>
    </row>
    <row r="301" spans="1:8" x14ac:dyDescent="0.3">
      <c r="A301" s="17" t="s">
        <v>12</v>
      </c>
      <c r="B301" s="10" t="s">
        <v>24</v>
      </c>
      <c r="C301" s="11" t="s">
        <v>15</v>
      </c>
      <c r="D301" s="10" t="s">
        <v>19</v>
      </c>
      <c r="E301" s="12">
        <v>44119</v>
      </c>
      <c r="F301" s="31">
        <v>79.989999999999995</v>
      </c>
      <c r="G301" s="13">
        <v>2</v>
      </c>
      <c r="H301" s="31">
        <f t="shared" si="4"/>
        <v>159.97999999999999</v>
      </c>
    </row>
    <row r="302" spans="1:8" x14ac:dyDescent="0.3">
      <c r="A302" s="9" t="s">
        <v>7</v>
      </c>
      <c r="B302" s="10" t="s">
        <v>23</v>
      </c>
      <c r="C302" s="11" t="s">
        <v>17</v>
      </c>
      <c r="D302" s="10" t="s">
        <v>19</v>
      </c>
      <c r="E302" s="12">
        <v>44091</v>
      </c>
      <c r="F302" s="31">
        <v>340.95</v>
      </c>
      <c r="G302" s="13">
        <v>9</v>
      </c>
      <c r="H302" s="31">
        <f t="shared" si="4"/>
        <v>3068.5499999999997</v>
      </c>
    </row>
    <row r="303" spans="1:8" x14ac:dyDescent="0.3">
      <c r="A303" s="17" t="s">
        <v>6</v>
      </c>
      <c r="B303" s="10" t="s">
        <v>24</v>
      </c>
      <c r="C303" s="11" t="s">
        <v>14</v>
      </c>
      <c r="D303" s="10" t="s">
        <v>18</v>
      </c>
      <c r="E303" s="12">
        <v>44274</v>
      </c>
      <c r="F303" s="31">
        <v>79.989999999999995</v>
      </c>
      <c r="G303" s="13">
        <v>18</v>
      </c>
      <c r="H303" s="31">
        <f t="shared" si="4"/>
        <v>1439.82</v>
      </c>
    </row>
    <row r="304" spans="1:8" x14ac:dyDescent="0.3">
      <c r="A304" s="9" t="s">
        <v>7</v>
      </c>
      <c r="B304" s="10" t="s">
        <v>26</v>
      </c>
      <c r="C304" s="11" t="s">
        <v>17</v>
      </c>
      <c r="D304" s="10" t="s">
        <v>19</v>
      </c>
      <c r="E304" s="12">
        <v>44017</v>
      </c>
      <c r="F304" s="31">
        <v>168.95</v>
      </c>
      <c r="G304" s="13">
        <v>7</v>
      </c>
      <c r="H304" s="31">
        <f t="shared" si="4"/>
        <v>1182.6499999999999</v>
      </c>
    </row>
    <row r="305" spans="1:8" x14ac:dyDescent="0.3">
      <c r="A305" s="9" t="s">
        <v>5</v>
      </c>
      <c r="B305" s="10" t="s">
        <v>25</v>
      </c>
      <c r="C305" s="11" t="s">
        <v>16</v>
      </c>
      <c r="D305" s="10" t="s">
        <v>22</v>
      </c>
      <c r="E305" s="12">
        <v>44336</v>
      </c>
      <c r="F305" s="31">
        <v>340.95</v>
      </c>
      <c r="G305" s="13">
        <v>8</v>
      </c>
      <c r="H305" s="31">
        <f t="shared" si="4"/>
        <v>2727.6</v>
      </c>
    </row>
    <row r="306" spans="1:8" x14ac:dyDescent="0.3">
      <c r="A306" s="9" t="s">
        <v>3</v>
      </c>
      <c r="B306" s="10" t="s">
        <v>27</v>
      </c>
      <c r="C306" s="11" t="s">
        <v>15</v>
      </c>
      <c r="D306" s="10" t="s">
        <v>22</v>
      </c>
      <c r="E306" s="12">
        <v>44497</v>
      </c>
      <c r="F306" s="31">
        <v>799.95</v>
      </c>
      <c r="G306" s="13">
        <v>5</v>
      </c>
      <c r="H306" s="31">
        <f t="shared" si="4"/>
        <v>3999.75</v>
      </c>
    </row>
    <row r="307" spans="1:8" x14ac:dyDescent="0.3">
      <c r="A307" s="9" t="s">
        <v>9</v>
      </c>
      <c r="B307" s="10" t="s">
        <v>23</v>
      </c>
      <c r="C307" s="11" t="s">
        <v>15</v>
      </c>
      <c r="D307" s="10" t="s">
        <v>18</v>
      </c>
      <c r="E307" s="12">
        <v>44107</v>
      </c>
      <c r="F307" s="31">
        <v>340.95</v>
      </c>
      <c r="G307" s="13">
        <v>19</v>
      </c>
      <c r="H307" s="31">
        <f t="shared" si="4"/>
        <v>6478.05</v>
      </c>
    </row>
    <row r="308" spans="1:8" x14ac:dyDescent="0.3">
      <c r="A308" s="17" t="s">
        <v>11</v>
      </c>
      <c r="B308" s="10" t="s">
        <v>23</v>
      </c>
      <c r="C308" s="11" t="s">
        <v>14</v>
      </c>
      <c r="D308" s="10" t="s">
        <v>21</v>
      </c>
      <c r="E308" s="12">
        <v>43944</v>
      </c>
      <c r="F308" s="31">
        <v>340.95</v>
      </c>
      <c r="G308" s="13">
        <v>2</v>
      </c>
      <c r="H308" s="31">
        <f t="shared" si="4"/>
        <v>681.9</v>
      </c>
    </row>
    <row r="309" spans="1:8" x14ac:dyDescent="0.3">
      <c r="A309" s="9" t="s">
        <v>5</v>
      </c>
      <c r="B309" s="10" t="s">
        <v>23</v>
      </c>
      <c r="C309" s="11" t="s">
        <v>15</v>
      </c>
      <c r="D309" s="10" t="s">
        <v>21</v>
      </c>
      <c r="E309" s="12">
        <v>44539</v>
      </c>
      <c r="F309" s="31">
        <v>340.95</v>
      </c>
      <c r="G309" s="13">
        <v>7</v>
      </c>
      <c r="H309" s="31">
        <f t="shared" si="4"/>
        <v>2386.65</v>
      </c>
    </row>
    <row r="310" spans="1:8" x14ac:dyDescent="0.3">
      <c r="A310" s="9" t="s">
        <v>3</v>
      </c>
      <c r="B310" s="10" t="s">
        <v>24</v>
      </c>
      <c r="C310" s="11" t="s">
        <v>15</v>
      </c>
      <c r="D310" s="10" t="s">
        <v>20</v>
      </c>
      <c r="E310" s="12">
        <v>44372</v>
      </c>
      <c r="F310" s="31">
        <v>79.989999999999995</v>
      </c>
      <c r="G310" s="13">
        <v>3</v>
      </c>
      <c r="H310" s="31">
        <f t="shared" si="4"/>
        <v>239.96999999999997</v>
      </c>
    </row>
    <row r="311" spans="1:8" x14ac:dyDescent="0.3">
      <c r="A311" s="9" t="s">
        <v>9</v>
      </c>
      <c r="B311" s="10" t="s">
        <v>24</v>
      </c>
      <c r="C311" s="11" t="s">
        <v>15</v>
      </c>
      <c r="D311" s="10" t="s">
        <v>18</v>
      </c>
      <c r="E311" s="12">
        <v>44186</v>
      </c>
      <c r="F311" s="31">
        <v>79.989999999999995</v>
      </c>
      <c r="G311" s="13">
        <v>19</v>
      </c>
      <c r="H311" s="31">
        <f t="shared" si="4"/>
        <v>1519.81</v>
      </c>
    </row>
    <row r="312" spans="1:8" x14ac:dyDescent="0.3">
      <c r="A312" s="9" t="s">
        <v>7</v>
      </c>
      <c r="B312" s="10" t="s">
        <v>25</v>
      </c>
      <c r="C312" s="11" t="s">
        <v>17</v>
      </c>
      <c r="D312" s="10" t="s">
        <v>19</v>
      </c>
      <c r="E312" s="12">
        <v>44224</v>
      </c>
      <c r="F312" s="31">
        <v>340.95</v>
      </c>
      <c r="G312" s="13">
        <v>15</v>
      </c>
      <c r="H312" s="31">
        <f t="shared" si="4"/>
        <v>5114.25</v>
      </c>
    </row>
    <row r="313" spans="1:8" x14ac:dyDescent="0.3">
      <c r="A313" s="9" t="s">
        <v>3</v>
      </c>
      <c r="B313" s="10" t="s">
        <v>23</v>
      </c>
      <c r="C313" s="11" t="s">
        <v>15</v>
      </c>
      <c r="D313" s="10" t="s">
        <v>19</v>
      </c>
      <c r="E313" s="12">
        <v>44301</v>
      </c>
      <c r="F313" s="31">
        <v>340.95</v>
      </c>
      <c r="G313" s="13">
        <v>12</v>
      </c>
      <c r="H313" s="31">
        <f t="shared" si="4"/>
        <v>4091.3999999999996</v>
      </c>
    </row>
    <row r="314" spans="1:8" x14ac:dyDescent="0.3">
      <c r="A314" s="9" t="s">
        <v>13</v>
      </c>
      <c r="B314" s="10" t="s">
        <v>24</v>
      </c>
      <c r="C314" s="11" t="s">
        <v>16</v>
      </c>
      <c r="D314" s="10" t="s">
        <v>20</v>
      </c>
      <c r="E314" s="12">
        <v>44392</v>
      </c>
      <c r="F314" s="31">
        <v>79.989999999999995</v>
      </c>
      <c r="G314" s="13">
        <v>3</v>
      </c>
      <c r="H314" s="31">
        <f t="shared" si="4"/>
        <v>239.96999999999997</v>
      </c>
    </row>
    <row r="315" spans="1:8" x14ac:dyDescent="0.3">
      <c r="A315" s="9" t="s">
        <v>7</v>
      </c>
      <c r="B315" s="10" t="s">
        <v>24</v>
      </c>
      <c r="C315" s="11" t="s">
        <v>17</v>
      </c>
      <c r="D315" s="10" t="s">
        <v>21</v>
      </c>
      <c r="E315" s="12">
        <v>43909</v>
      </c>
      <c r="F315" s="31">
        <v>79.989999999999995</v>
      </c>
      <c r="G315" s="13">
        <v>5</v>
      </c>
      <c r="H315" s="31">
        <f t="shared" si="4"/>
        <v>399.95</v>
      </c>
    </row>
    <row r="316" spans="1:8" x14ac:dyDescent="0.3">
      <c r="A316" s="9" t="s">
        <v>13</v>
      </c>
      <c r="B316" s="10" t="s">
        <v>26</v>
      </c>
      <c r="C316" s="11" t="s">
        <v>16</v>
      </c>
      <c r="D316" s="10" t="s">
        <v>18</v>
      </c>
      <c r="E316" s="12">
        <v>44389</v>
      </c>
      <c r="F316" s="31">
        <v>168.95</v>
      </c>
      <c r="G316" s="13">
        <v>13</v>
      </c>
      <c r="H316" s="31">
        <f t="shared" si="4"/>
        <v>2196.35</v>
      </c>
    </row>
    <row r="317" spans="1:8" x14ac:dyDescent="0.3">
      <c r="A317" s="17" t="s">
        <v>4</v>
      </c>
      <c r="B317" s="10" t="s">
        <v>24</v>
      </c>
      <c r="C317" s="11" t="s">
        <v>14</v>
      </c>
      <c r="D317" s="10" t="s">
        <v>20</v>
      </c>
      <c r="E317" s="12">
        <v>44176</v>
      </c>
      <c r="F317" s="31">
        <v>79.989999999999995</v>
      </c>
      <c r="G317" s="13">
        <v>7</v>
      </c>
      <c r="H317" s="31">
        <f t="shared" si="4"/>
        <v>559.92999999999995</v>
      </c>
    </row>
    <row r="318" spans="1:8" x14ac:dyDescent="0.3">
      <c r="A318" s="17" t="s">
        <v>12</v>
      </c>
      <c r="B318" s="10" t="s">
        <v>24</v>
      </c>
      <c r="C318" s="11" t="s">
        <v>15</v>
      </c>
      <c r="D318" s="10" t="s">
        <v>21</v>
      </c>
      <c r="E318" s="12">
        <v>44375</v>
      </c>
      <c r="F318" s="31">
        <v>79.989999999999995</v>
      </c>
      <c r="G318" s="13">
        <v>6</v>
      </c>
      <c r="H318" s="31">
        <f t="shared" si="4"/>
        <v>479.93999999999994</v>
      </c>
    </row>
    <row r="319" spans="1:8" x14ac:dyDescent="0.3">
      <c r="A319" s="17" t="s">
        <v>8</v>
      </c>
      <c r="B319" s="10" t="s">
        <v>23</v>
      </c>
      <c r="C319" s="11" t="s">
        <v>17</v>
      </c>
      <c r="D319" s="10" t="s">
        <v>21</v>
      </c>
      <c r="E319" s="12">
        <v>44514</v>
      </c>
      <c r="F319" s="31">
        <v>340.95</v>
      </c>
      <c r="G319" s="13">
        <v>10</v>
      </c>
      <c r="H319" s="31">
        <f t="shared" si="4"/>
        <v>3409.5</v>
      </c>
    </row>
    <row r="320" spans="1:8" x14ac:dyDescent="0.3">
      <c r="A320" s="17" t="s">
        <v>6</v>
      </c>
      <c r="B320" s="10" t="s">
        <v>24</v>
      </c>
      <c r="C320" s="11" t="s">
        <v>14</v>
      </c>
      <c r="D320" s="10" t="s">
        <v>19</v>
      </c>
      <c r="E320" s="12">
        <v>44373</v>
      </c>
      <c r="F320" s="31">
        <v>79.989999999999995</v>
      </c>
      <c r="G320" s="13">
        <v>15</v>
      </c>
      <c r="H320" s="31">
        <f t="shared" si="4"/>
        <v>1199.8499999999999</v>
      </c>
    </row>
    <row r="321" spans="1:8" x14ac:dyDescent="0.3">
      <c r="A321" s="17" t="s">
        <v>10</v>
      </c>
      <c r="B321" s="10" t="s">
        <v>24</v>
      </c>
      <c r="C321" s="11" t="s">
        <v>16</v>
      </c>
      <c r="D321" s="10" t="s">
        <v>19</v>
      </c>
      <c r="E321" s="12">
        <v>44230</v>
      </c>
      <c r="F321" s="31">
        <v>79.989999999999995</v>
      </c>
      <c r="G321" s="13">
        <v>1</v>
      </c>
      <c r="H321" s="31">
        <f t="shared" si="4"/>
        <v>79.989999999999995</v>
      </c>
    </row>
    <row r="322" spans="1:8" x14ac:dyDescent="0.3">
      <c r="A322" s="9" t="s">
        <v>3</v>
      </c>
      <c r="B322" s="10" t="s">
        <v>23</v>
      </c>
      <c r="C322" s="11" t="s">
        <v>15</v>
      </c>
      <c r="D322" s="10" t="s">
        <v>22</v>
      </c>
      <c r="E322" s="12">
        <v>44164</v>
      </c>
      <c r="F322" s="31">
        <v>340.95</v>
      </c>
      <c r="G322" s="13">
        <v>12</v>
      </c>
      <c r="H322" s="31">
        <f t="shared" ref="H322:H385" si="5">F322*G322</f>
        <v>4091.3999999999996</v>
      </c>
    </row>
    <row r="323" spans="1:8" x14ac:dyDescent="0.3">
      <c r="A323" s="17" t="s">
        <v>4</v>
      </c>
      <c r="B323" s="10" t="s">
        <v>26</v>
      </c>
      <c r="C323" s="11" t="s">
        <v>14</v>
      </c>
      <c r="D323" s="10" t="s">
        <v>19</v>
      </c>
      <c r="E323" s="12">
        <v>44062</v>
      </c>
      <c r="F323" s="31">
        <v>168.95</v>
      </c>
      <c r="G323" s="13">
        <v>2</v>
      </c>
      <c r="H323" s="31">
        <f t="shared" si="5"/>
        <v>337.9</v>
      </c>
    </row>
    <row r="324" spans="1:8" x14ac:dyDescent="0.3">
      <c r="A324" s="9" t="s">
        <v>7</v>
      </c>
      <c r="B324" s="10" t="s">
        <v>27</v>
      </c>
      <c r="C324" s="11" t="s">
        <v>17</v>
      </c>
      <c r="D324" s="10" t="s">
        <v>21</v>
      </c>
      <c r="E324" s="12">
        <v>44541</v>
      </c>
      <c r="F324" s="31">
        <v>799.95</v>
      </c>
      <c r="G324" s="13">
        <v>14</v>
      </c>
      <c r="H324" s="31">
        <f t="shared" si="5"/>
        <v>11199.300000000001</v>
      </c>
    </row>
    <row r="325" spans="1:8" x14ac:dyDescent="0.3">
      <c r="A325" s="9" t="s">
        <v>2</v>
      </c>
      <c r="B325" s="10" t="s">
        <v>23</v>
      </c>
      <c r="C325" s="11" t="s">
        <v>14</v>
      </c>
      <c r="D325" s="10" t="s">
        <v>19</v>
      </c>
      <c r="E325" s="12">
        <v>43978</v>
      </c>
      <c r="F325" s="31">
        <v>340.95</v>
      </c>
      <c r="G325" s="13">
        <v>3</v>
      </c>
      <c r="H325" s="31">
        <f t="shared" si="5"/>
        <v>1022.8499999999999</v>
      </c>
    </row>
    <row r="326" spans="1:8" x14ac:dyDescent="0.3">
      <c r="A326" s="17" t="s">
        <v>12</v>
      </c>
      <c r="B326" s="10" t="s">
        <v>23</v>
      </c>
      <c r="C326" s="11" t="s">
        <v>15</v>
      </c>
      <c r="D326" s="10" t="s">
        <v>19</v>
      </c>
      <c r="E326" s="12">
        <v>44193</v>
      </c>
      <c r="F326" s="31">
        <v>340.95</v>
      </c>
      <c r="G326" s="13">
        <v>8</v>
      </c>
      <c r="H326" s="31">
        <f t="shared" si="5"/>
        <v>2727.6</v>
      </c>
    </row>
    <row r="327" spans="1:8" x14ac:dyDescent="0.3">
      <c r="A327" s="17" t="s">
        <v>8</v>
      </c>
      <c r="B327" s="10" t="s">
        <v>26</v>
      </c>
      <c r="C327" s="11" t="s">
        <v>17</v>
      </c>
      <c r="D327" s="10" t="s">
        <v>20</v>
      </c>
      <c r="E327" s="12">
        <v>44518</v>
      </c>
      <c r="F327" s="31">
        <v>168.95</v>
      </c>
      <c r="G327" s="13">
        <v>8</v>
      </c>
      <c r="H327" s="31">
        <f t="shared" si="5"/>
        <v>1351.6</v>
      </c>
    </row>
    <row r="328" spans="1:8" x14ac:dyDescent="0.3">
      <c r="A328" s="9" t="s">
        <v>3</v>
      </c>
      <c r="B328" s="10" t="s">
        <v>23</v>
      </c>
      <c r="C328" s="11" t="s">
        <v>15</v>
      </c>
      <c r="D328" s="10" t="s">
        <v>18</v>
      </c>
      <c r="E328" s="12">
        <v>44496</v>
      </c>
      <c r="F328" s="31">
        <v>340.95</v>
      </c>
      <c r="G328" s="13">
        <v>16</v>
      </c>
      <c r="H328" s="31">
        <f t="shared" si="5"/>
        <v>5455.2</v>
      </c>
    </row>
    <row r="329" spans="1:8" x14ac:dyDescent="0.3">
      <c r="A329" s="9" t="s">
        <v>2</v>
      </c>
      <c r="B329" s="10" t="s">
        <v>24</v>
      </c>
      <c r="C329" s="11" t="s">
        <v>14</v>
      </c>
      <c r="D329" s="10" t="s">
        <v>22</v>
      </c>
      <c r="E329" s="12">
        <v>44316</v>
      </c>
      <c r="F329" s="31">
        <v>79.989999999999995</v>
      </c>
      <c r="G329" s="13">
        <v>6</v>
      </c>
      <c r="H329" s="31">
        <f t="shared" si="5"/>
        <v>479.93999999999994</v>
      </c>
    </row>
    <row r="330" spans="1:8" x14ac:dyDescent="0.3">
      <c r="A330" s="9" t="s">
        <v>3</v>
      </c>
      <c r="B330" s="10" t="s">
        <v>25</v>
      </c>
      <c r="C330" s="11" t="s">
        <v>15</v>
      </c>
      <c r="D330" s="10" t="s">
        <v>18</v>
      </c>
      <c r="E330" s="12">
        <v>44157</v>
      </c>
      <c r="F330" s="31">
        <v>340.95</v>
      </c>
      <c r="G330" s="13">
        <v>8</v>
      </c>
      <c r="H330" s="31">
        <f t="shared" si="5"/>
        <v>2727.6</v>
      </c>
    </row>
    <row r="331" spans="1:8" x14ac:dyDescent="0.3">
      <c r="A331" s="9" t="s">
        <v>9</v>
      </c>
      <c r="B331" s="10" t="s">
        <v>25</v>
      </c>
      <c r="C331" s="11" t="s">
        <v>15</v>
      </c>
      <c r="D331" s="10" t="s">
        <v>21</v>
      </c>
      <c r="E331" s="12">
        <v>44182</v>
      </c>
      <c r="F331" s="31">
        <v>340.95</v>
      </c>
      <c r="G331" s="13">
        <v>9</v>
      </c>
      <c r="H331" s="31">
        <f t="shared" si="5"/>
        <v>3068.5499999999997</v>
      </c>
    </row>
    <row r="332" spans="1:8" x14ac:dyDescent="0.3">
      <c r="A332" s="9" t="s">
        <v>3</v>
      </c>
      <c r="B332" s="10" t="s">
        <v>26</v>
      </c>
      <c r="C332" s="11" t="s">
        <v>15</v>
      </c>
      <c r="D332" s="10" t="s">
        <v>18</v>
      </c>
      <c r="E332" s="12">
        <v>44479</v>
      </c>
      <c r="F332" s="31">
        <v>168.95</v>
      </c>
      <c r="G332" s="13">
        <v>8</v>
      </c>
      <c r="H332" s="31">
        <f t="shared" si="5"/>
        <v>1351.6</v>
      </c>
    </row>
    <row r="333" spans="1:8" x14ac:dyDescent="0.3">
      <c r="A333" s="9" t="s">
        <v>5</v>
      </c>
      <c r="B333" s="10" t="s">
        <v>27</v>
      </c>
      <c r="C333" s="11" t="s">
        <v>15</v>
      </c>
      <c r="D333" s="10" t="s">
        <v>20</v>
      </c>
      <c r="E333" s="12">
        <v>44206</v>
      </c>
      <c r="F333" s="31">
        <v>799.95</v>
      </c>
      <c r="G333" s="13">
        <v>15</v>
      </c>
      <c r="H333" s="31">
        <f t="shared" si="5"/>
        <v>11999.25</v>
      </c>
    </row>
    <row r="334" spans="1:8" x14ac:dyDescent="0.3">
      <c r="A334" s="17" t="s">
        <v>6</v>
      </c>
      <c r="B334" s="10" t="s">
        <v>23</v>
      </c>
      <c r="C334" s="11" t="s">
        <v>14</v>
      </c>
      <c r="D334" s="10" t="s">
        <v>21</v>
      </c>
      <c r="E334" s="12">
        <v>43861</v>
      </c>
      <c r="F334" s="31">
        <v>340.95</v>
      </c>
      <c r="G334" s="13">
        <v>4</v>
      </c>
      <c r="H334" s="31">
        <f t="shared" si="5"/>
        <v>1363.8</v>
      </c>
    </row>
    <row r="335" spans="1:8" x14ac:dyDescent="0.3">
      <c r="A335" s="9" t="s">
        <v>5</v>
      </c>
      <c r="B335" s="10" t="s">
        <v>27</v>
      </c>
      <c r="C335" s="11" t="s">
        <v>15</v>
      </c>
      <c r="D335" s="10" t="s">
        <v>22</v>
      </c>
      <c r="E335" s="12">
        <v>44343</v>
      </c>
      <c r="F335" s="31">
        <v>799.95</v>
      </c>
      <c r="G335" s="13">
        <v>4</v>
      </c>
      <c r="H335" s="31">
        <f t="shared" si="5"/>
        <v>3199.8</v>
      </c>
    </row>
    <row r="336" spans="1:8" x14ac:dyDescent="0.3">
      <c r="A336" s="9" t="s">
        <v>13</v>
      </c>
      <c r="B336" s="10" t="s">
        <v>23</v>
      </c>
      <c r="C336" s="11" t="s">
        <v>16</v>
      </c>
      <c r="D336" s="10" t="s">
        <v>21</v>
      </c>
      <c r="E336" s="12">
        <v>43958</v>
      </c>
      <c r="F336" s="31">
        <v>340.95</v>
      </c>
      <c r="G336" s="13">
        <v>2</v>
      </c>
      <c r="H336" s="31">
        <f t="shared" si="5"/>
        <v>681.9</v>
      </c>
    </row>
    <row r="337" spans="1:8" x14ac:dyDescent="0.3">
      <c r="A337" s="17" t="s">
        <v>4</v>
      </c>
      <c r="B337" s="10" t="s">
        <v>23</v>
      </c>
      <c r="C337" s="11" t="s">
        <v>14</v>
      </c>
      <c r="D337" s="10" t="s">
        <v>20</v>
      </c>
      <c r="E337" s="12">
        <v>44154</v>
      </c>
      <c r="F337" s="31">
        <v>340.95</v>
      </c>
      <c r="G337" s="13">
        <v>3</v>
      </c>
      <c r="H337" s="31">
        <f t="shared" si="5"/>
        <v>1022.8499999999999</v>
      </c>
    </row>
    <row r="338" spans="1:8" x14ac:dyDescent="0.3">
      <c r="A338" s="9" t="s">
        <v>7</v>
      </c>
      <c r="B338" s="10" t="s">
        <v>27</v>
      </c>
      <c r="C338" s="11" t="s">
        <v>17</v>
      </c>
      <c r="D338" s="10" t="s">
        <v>21</v>
      </c>
      <c r="E338" s="12">
        <v>44206</v>
      </c>
      <c r="F338" s="31">
        <v>799.95</v>
      </c>
      <c r="G338" s="13">
        <v>7</v>
      </c>
      <c r="H338" s="31">
        <f t="shared" si="5"/>
        <v>5599.6500000000005</v>
      </c>
    </row>
    <row r="339" spans="1:8" x14ac:dyDescent="0.3">
      <c r="A339" s="9" t="s">
        <v>13</v>
      </c>
      <c r="B339" s="10" t="s">
        <v>24</v>
      </c>
      <c r="C339" s="11" t="s">
        <v>16</v>
      </c>
      <c r="D339" s="10" t="s">
        <v>20</v>
      </c>
      <c r="E339" s="12">
        <v>43995</v>
      </c>
      <c r="F339" s="31">
        <v>79.989999999999995</v>
      </c>
      <c r="G339" s="13">
        <v>9</v>
      </c>
      <c r="H339" s="31">
        <f t="shared" si="5"/>
        <v>719.91</v>
      </c>
    </row>
    <row r="340" spans="1:8" x14ac:dyDescent="0.3">
      <c r="A340" s="17" t="s">
        <v>8</v>
      </c>
      <c r="B340" s="10" t="s">
        <v>27</v>
      </c>
      <c r="C340" s="11" t="s">
        <v>17</v>
      </c>
      <c r="D340" s="10" t="s">
        <v>18</v>
      </c>
      <c r="E340" s="12">
        <v>44527</v>
      </c>
      <c r="F340" s="31">
        <v>799.95</v>
      </c>
      <c r="G340" s="13">
        <v>18</v>
      </c>
      <c r="H340" s="31">
        <f t="shared" si="5"/>
        <v>14399.1</v>
      </c>
    </row>
    <row r="341" spans="1:8" x14ac:dyDescent="0.3">
      <c r="A341" s="9" t="s">
        <v>5</v>
      </c>
      <c r="B341" s="10" t="s">
        <v>25</v>
      </c>
      <c r="C341" s="11" t="s">
        <v>16</v>
      </c>
      <c r="D341" s="10" t="s">
        <v>22</v>
      </c>
      <c r="E341" s="12">
        <v>43986</v>
      </c>
      <c r="F341" s="31">
        <v>340.95</v>
      </c>
      <c r="G341" s="13">
        <v>2</v>
      </c>
      <c r="H341" s="31">
        <f t="shared" si="5"/>
        <v>681.9</v>
      </c>
    </row>
    <row r="342" spans="1:8" x14ac:dyDescent="0.3">
      <c r="A342" s="17" t="s">
        <v>12</v>
      </c>
      <c r="B342" s="10" t="s">
        <v>25</v>
      </c>
      <c r="C342" s="11" t="s">
        <v>15</v>
      </c>
      <c r="D342" s="10" t="s">
        <v>21</v>
      </c>
      <c r="E342" s="12">
        <v>44091</v>
      </c>
      <c r="F342" s="31">
        <v>340.95</v>
      </c>
      <c r="G342" s="13">
        <v>8</v>
      </c>
      <c r="H342" s="31">
        <f t="shared" si="5"/>
        <v>2727.6</v>
      </c>
    </row>
    <row r="343" spans="1:8" x14ac:dyDescent="0.3">
      <c r="A343" s="17" t="s">
        <v>11</v>
      </c>
      <c r="B343" s="10" t="s">
        <v>23</v>
      </c>
      <c r="C343" s="11" t="s">
        <v>14</v>
      </c>
      <c r="D343" s="10" t="s">
        <v>19</v>
      </c>
      <c r="E343" s="12">
        <v>44195</v>
      </c>
      <c r="F343" s="31">
        <v>340.95</v>
      </c>
      <c r="G343" s="13">
        <v>6</v>
      </c>
      <c r="H343" s="31">
        <f t="shared" si="5"/>
        <v>2045.6999999999998</v>
      </c>
    </row>
    <row r="344" spans="1:8" x14ac:dyDescent="0.3">
      <c r="A344" s="17" t="s">
        <v>10</v>
      </c>
      <c r="B344" s="10" t="s">
        <v>25</v>
      </c>
      <c r="C344" s="11" t="s">
        <v>16</v>
      </c>
      <c r="D344" s="10" t="s">
        <v>21</v>
      </c>
      <c r="E344" s="12">
        <v>44321</v>
      </c>
      <c r="F344" s="31">
        <v>340.95</v>
      </c>
      <c r="G344" s="13">
        <v>10</v>
      </c>
      <c r="H344" s="31">
        <f t="shared" si="5"/>
        <v>3409.5</v>
      </c>
    </row>
    <row r="345" spans="1:8" x14ac:dyDescent="0.3">
      <c r="A345" s="9" t="s">
        <v>7</v>
      </c>
      <c r="B345" s="10" t="s">
        <v>23</v>
      </c>
      <c r="C345" s="11" t="s">
        <v>17</v>
      </c>
      <c r="D345" s="10" t="s">
        <v>20</v>
      </c>
      <c r="E345" s="12">
        <v>44477</v>
      </c>
      <c r="F345" s="31">
        <v>340.95</v>
      </c>
      <c r="G345" s="13">
        <v>1</v>
      </c>
      <c r="H345" s="31">
        <f t="shared" si="5"/>
        <v>340.95</v>
      </c>
    </row>
    <row r="346" spans="1:8" x14ac:dyDescent="0.3">
      <c r="A346" s="9" t="s">
        <v>13</v>
      </c>
      <c r="B346" s="10" t="s">
        <v>26</v>
      </c>
      <c r="C346" s="11" t="s">
        <v>16</v>
      </c>
      <c r="D346" s="10" t="s">
        <v>19</v>
      </c>
      <c r="E346" s="12">
        <v>44393</v>
      </c>
      <c r="F346" s="31">
        <v>168.95</v>
      </c>
      <c r="G346" s="13">
        <v>4</v>
      </c>
      <c r="H346" s="31">
        <f t="shared" si="5"/>
        <v>675.8</v>
      </c>
    </row>
    <row r="347" spans="1:8" x14ac:dyDescent="0.3">
      <c r="A347" s="9" t="s">
        <v>2</v>
      </c>
      <c r="B347" s="10" t="s">
        <v>24</v>
      </c>
      <c r="C347" s="11" t="s">
        <v>14</v>
      </c>
      <c r="D347" s="10" t="s">
        <v>22</v>
      </c>
      <c r="E347" s="12">
        <v>44195</v>
      </c>
      <c r="F347" s="31">
        <v>79.989999999999995</v>
      </c>
      <c r="G347" s="13">
        <v>1</v>
      </c>
      <c r="H347" s="31">
        <f t="shared" si="5"/>
        <v>79.989999999999995</v>
      </c>
    </row>
    <row r="348" spans="1:8" x14ac:dyDescent="0.3">
      <c r="A348" s="9" t="s">
        <v>3</v>
      </c>
      <c r="B348" s="10" t="s">
        <v>23</v>
      </c>
      <c r="C348" s="11" t="s">
        <v>15</v>
      </c>
      <c r="D348" s="10" t="s">
        <v>22</v>
      </c>
      <c r="E348" s="12">
        <v>44457</v>
      </c>
      <c r="F348" s="31">
        <v>340.95</v>
      </c>
      <c r="G348" s="13">
        <v>13</v>
      </c>
      <c r="H348" s="31">
        <f t="shared" si="5"/>
        <v>4432.3499999999995</v>
      </c>
    </row>
    <row r="349" spans="1:8" x14ac:dyDescent="0.3">
      <c r="A349" s="17" t="s">
        <v>12</v>
      </c>
      <c r="B349" s="10" t="s">
        <v>23</v>
      </c>
      <c r="C349" s="11" t="s">
        <v>15</v>
      </c>
      <c r="D349" s="10" t="s">
        <v>18</v>
      </c>
      <c r="E349" s="12">
        <v>43913</v>
      </c>
      <c r="F349" s="31">
        <v>340.95</v>
      </c>
      <c r="G349" s="13">
        <v>16</v>
      </c>
      <c r="H349" s="31">
        <f t="shared" si="5"/>
        <v>5455.2</v>
      </c>
    </row>
    <row r="350" spans="1:8" x14ac:dyDescent="0.3">
      <c r="A350" s="9" t="s">
        <v>13</v>
      </c>
      <c r="B350" s="10" t="s">
        <v>26</v>
      </c>
      <c r="C350" s="11" t="s">
        <v>16</v>
      </c>
      <c r="D350" s="10" t="s">
        <v>19</v>
      </c>
      <c r="E350" s="12">
        <v>44448</v>
      </c>
      <c r="F350" s="31">
        <v>168.95</v>
      </c>
      <c r="G350" s="13">
        <v>6</v>
      </c>
      <c r="H350" s="31">
        <f t="shared" si="5"/>
        <v>1013.6999999999999</v>
      </c>
    </row>
    <row r="351" spans="1:8" x14ac:dyDescent="0.3">
      <c r="A351" s="9" t="s">
        <v>2</v>
      </c>
      <c r="B351" s="10" t="s">
        <v>27</v>
      </c>
      <c r="C351" s="11" t="s">
        <v>14</v>
      </c>
      <c r="D351" s="10" t="s">
        <v>22</v>
      </c>
      <c r="E351" s="12">
        <v>43936</v>
      </c>
      <c r="F351" s="31">
        <v>799.95</v>
      </c>
      <c r="G351" s="13">
        <v>4</v>
      </c>
      <c r="H351" s="31">
        <f t="shared" si="5"/>
        <v>3199.8</v>
      </c>
    </row>
    <row r="352" spans="1:8" x14ac:dyDescent="0.3">
      <c r="A352" s="9" t="s">
        <v>3</v>
      </c>
      <c r="B352" s="10" t="s">
        <v>26</v>
      </c>
      <c r="C352" s="11" t="s">
        <v>15</v>
      </c>
      <c r="D352" s="10" t="s">
        <v>18</v>
      </c>
      <c r="E352" s="12">
        <v>43873</v>
      </c>
      <c r="F352" s="31">
        <v>168.95</v>
      </c>
      <c r="G352" s="13">
        <v>8</v>
      </c>
      <c r="H352" s="31">
        <f t="shared" si="5"/>
        <v>1351.6</v>
      </c>
    </row>
    <row r="353" spans="1:8" x14ac:dyDescent="0.3">
      <c r="A353" s="17" t="s">
        <v>11</v>
      </c>
      <c r="B353" s="10" t="s">
        <v>23</v>
      </c>
      <c r="C353" s="11" t="s">
        <v>14</v>
      </c>
      <c r="D353" s="10" t="s">
        <v>20</v>
      </c>
      <c r="E353" s="12">
        <v>44504</v>
      </c>
      <c r="F353" s="31">
        <v>340.95</v>
      </c>
      <c r="G353" s="13">
        <v>11</v>
      </c>
      <c r="H353" s="31">
        <f t="shared" si="5"/>
        <v>3750.45</v>
      </c>
    </row>
    <row r="354" spans="1:8" x14ac:dyDescent="0.3">
      <c r="A354" s="17" t="s">
        <v>4</v>
      </c>
      <c r="B354" s="10" t="s">
        <v>26</v>
      </c>
      <c r="C354" s="11" t="s">
        <v>14</v>
      </c>
      <c r="D354" s="10" t="s">
        <v>22</v>
      </c>
      <c r="E354" s="12">
        <v>44197</v>
      </c>
      <c r="F354" s="31">
        <v>168.95</v>
      </c>
      <c r="G354" s="13">
        <v>15</v>
      </c>
      <c r="H354" s="31">
        <f t="shared" si="5"/>
        <v>2534.25</v>
      </c>
    </row>
    <row r="355" spans="1:8" x14ac:dyDescent="0.3">
      <c r="A355" s="9" t="s">
        <v>3</v>
      </c>
      <c r="B355" s="10" t="s">
        <v>23</v>
      </c>
      <c r="C355" s="11" t="s">
        <v>15</v>
      </c>
      <c r="D355" s="10" t="s">
        <v>22</v>
      </c>
      <c r="E355" s="12">
        <v>44552</v>
      </c>
      <c r="F355" s="31">
        <v>340.95</v>
      </c>
      <c r="G355" s="13">
        <v>15</v>
      </c>
      <c r="H355" s="31">
        <f t="shared" si="5"/>
        <v>5114.25</v>
      </c>
    </row>
    <row r="356" spans="1:8" x14ac:dyDescent="0.3">
      <c r="A356" s="9" t="s">
        <v>9</v>
      </c>
      <c r="B356" s="10" t="s">
        <v>27</v>
      </c>
      <c r="C356" s="11" t="s">
        <v>15</v>
      </c>
      <c r="D356" s="10" t="s">
        <v>22</v>
      </c>
      <c r="E356" s="12">
        <v>44094</v>
      </c>
      <c r="F356" s="31">
        <v>799.95</v>
      </c>
      <c r="G356" s="13">
        <v>11</v>
      </c>
      <c r="H356" s="31">
        <f t="shared" si="5"/>
        <v>8799.4500000000007</v>
      </c>
    </row>
    <row r="357" spans="1:8" x14ac:dyDescent="0.3">
      <c r="A357" s="17" t="s">
        <v>8</v>
      </c>
      <c r="B357" s="10" t="s">
        <v>24</v>
      </c>
      <c r="C357" s="11" t="s">
        <v>17</v>
      </c>
      <c r="D357" s="10" t="s">
        <v>22</v>
      </c>
      <c r="E357" s="12">
        <v>43895</v>
      </c>
      <c r="F357" s="31">
        <v>79.989999999999995</v>
      </c>
      <c r="G357" s="13">
        <v>10</v>
      </c>
      <c r="H357" s="31">
        <f t="shared" si="5"/>
        <v>799.9</v>
      </c>
    </row>
    <row r="358" spans="1:8" x14ac:dyDescent="0.3">
      <c r="A358" s="9" t="s">
        <v>2</v>
      </c>
      <c r="B358" s="10" t="s">
        <v>25</v>
      </c>
      <c r="C358" s="11" t="s">
        <v>14</v>
      </c>
      <c r="D358" s="10" t="s">
        <v>21</v>
      </c>
      <c r="E358" s="12">
        <v>43988</v>
      </c>
      <c r="F358" s="31">
        <v>340.95</v>
      </c>
      <c r="G358" s="13">
        <v>9</v>
      </c>
      <c r="H358" s="31">
        <f t="shared" si="5"/>
        <v>3068.5499999999997</v>
      </c>
    </row>
    <row r="359" spans="1:8" x14ac:dyDescent="0.3">
      <c r="A359" s="17" t="s">
        <v>11</v>
      </c>
      <c r="B359" s="10" t="s">
        <v>26</v>
      </c>
      <c r="C359" s="11" t="s">
        <v>14</v>
      </c>
      <c r="D359" s="10" t="s">
        <v>18</v>
      </c>
      <c r="E359" s="12">
        <v>44385</v>
      </c>
      <c r="F359" s="31">
        <v>168.95</v>
      </c>
      <c r="G359" s="13">
        <v>17</v>
      </c>
      <c r="H359" s="31">
        <f t="shared" si="5"/>
        <v>2872.1499999999996</v>
      </c>
    </row>
    <row r="360" spans="1:8" x14ac:dyDescent="0.3">
      <c r="A360" s="9" t="s">
        <v>5</v>
      </c>
      <c r="B360" s="10" t="s">
        <v>24</v>
      </c>
      <c r="C360" s="11" t="s">
        <v>15</v>
      </c>
      <c r="D360" s="10" t="s">
        <v>18</v>
      </c>
      <c r="E360" s="12">
        <v>44010</v>
      </c>
      <c r="F360" s="31">
        <v>79.989999999999995</v>
      </c>
      <c r="G360" s="13">
        <v>12</v>
      </c>
      <c r="H360" s="31">
        <f t="shared" si="5"/>
        <v>959.87999999999988</v>
      </c>
    </row>
    <row r="361" spans="1:8" x14ac:dyDescent="0.3">
      <c r="A361" s="9" t="s">
        <v>2</v>
      </c>
      <c r="B361" s="10" t="s">
        <v>25</v>
      </c>
      <c r="C361" s="11" t="s">
        <v>14</v>
      </c>
      <c r="D361" s="10" t="s">
        <v>20</v>
      </c>
      <c r="E361" s="12">
        <v>44140</v>
      </c>
      <c r="F361" s="31">
        <v>340.95</v>
      </c>
      <c r="G361" s="13">
        <v>6</v>
      </c>
      <c r="H361" s="31">
        <f t="shared" si="5"/>
        <v>2045.6999999999998</v>
      </c>
    </row>
    <row r="362" spans="1:8" x14ac:dyDescent="0.3">
      <c r="A362" s="17" t="s">
        <v>11</v>
      </c>
      <c r="B362" s="10" t="s">
        <v>27</v>
      </c>
      <c r="C362" s="11" t="s">
        <v>14</v>
      </c>
      <c r="D362" s="10" t="s">
        <v>20</v>
      </c>
      <c r="E362" s="12">
        <v>44010</v>
      </c>
      <c r="F362" s="31">
        <v>799.95</v>
      </c>
      <c r="G362" s="13">
        <v>15</v>
      </c>
      <c r="H362" s="31">
        <f t="shared" si="5"/>
        <v>11999.25</v>
      </c>
    </row>
    <row r="363" spans="1:8" x14ac:dyDescent="0.3">
      <c r="A363" s="9" t="s">
        <v>5</v>
      </c>
      <c r="B363" s="10" t="s">
        <v>23</v>
      </c>
      <c r="C363" s="11" t="s">
        <v>15</v>
      </c>
      <c r="D363" s="10" t="s">
        <v>19</v>
      </c>
      <c r="E363" s="12">
        <v>43944</v>
      </c>
      <c r="F363" s="31">
        <v>340.95</v>
      </c>
      <c r="G363" s="13">
        <v>1</v>
      </c>
      <c r="H363" s="31">
        <f t="shared" si="5"/>
        <v>340.95</v>
      </c>
    </row>
    <row r="364" spans="1:8" x14ac:dyDescent="0.3">
      <c r="A364" s="17" t="s">
        <v>12</v>
      </c>
      <c r="B364" s="10" t="s">
        <v>27</v>
      </c>
      <c r="C364" s="11" t="s">
        <v>15</v>
      </c>
      <c r="D364" s="10" t="s">
        <v>21</v>
      </c>
      <c r="E364" s="12">
        <v>44135</v>
      </c>
      <c r="F364" s="31">
        <v>799.95</v>
      </c>
      <c r="G364" s="13">
        <v>4</v>
      </c>
      <c r="H364" s="31">
        <f t="shared" si="5"/>
        <v>3199.8</v>
      </c>
    </row>
    <row r="365" spans="1:8" x14ac:dyDescent="0.3">
      <c r="A365" s="9" t="s">
        <v>13</v>
      </c>
      <c r="B365" s="10" t="s">
        <v>23</v>
      </c>
      <c r="C365" s="11" t="s">
        <v>16</v>
      </c>
      <c r="D365" s="10" t="s">
        <v>22</v>
      </c>
      <c r="E365" s="12">
        <v>44417</v>
      </c>
      <c r="F365" s="31">
        <v>340.95</v>
      </c>
      <c r="G365" s="13">
        <v>5</v>
      </c>
      <c r="H365" s="31">
        <f t="shared" si="5"/>
        <v>1704.75</v>
      </c>
    </row>
    <row r="366" spans="1:8" x14ac:dyDescent="0.3">
      <c r="A366" s="17" t="s">
        <v>8</v>
      </c>
      <c r="B366" s="10" t="s">
        <v>27</v>
      </c>
      <c r="C366" s="11" t="s">
        <v>17</v>
      </c>
      <c r="D366" s="10" t="s">
        <v>20</v>
      </c>
      <c r="E366" s="12">
        <v>44317</v>
      </c>
      <c r="F366" s="31">
        <v>799.95</v>
      </c>
      <c r="G366" s="13">
        <v>9</v>
      </c>
      <c r="H366" s="31">
        <f t="shared" si="5"/>
        <v>7199.55</v>
      </c>
    </row>
    <row r="367" spans="1:8" x14ac:dyDescent="0.3">
      <c r="A367" s="17" t="s">
        <v>6</v>
      </c>
      <c r="B367" s="10" t="s">
        <v>26</v>
      </c>
      <c r="C367" s="11" t="s">
        <v>14</v>
      </c>
      <c r="D367" s="10" t="s">
        <v>20</v>
      </c>
      <c r="E367" s="12">
        <v>44319</v>
      </c>
      <c r="F367" s="31">
        <v>168.95</v>
      </c>
      <c r="G367" s="13">
        <v>1</v>
      </c>
      <c r="H367" s="31">
        <f t="shared" si="5"/>
        <v>168.95</v>
      </c>
    </row>
    <row r="368" spans="1:8" x14ac:dyDescent="0.3">
      <c r="A368" s="17" t="s">
        <v>4</v>
      </c>
      <c r="B368" s="10" t="s">
        <v>23</v>
      </c>
      <c r="C368" s="11" t="s">
        <v>14</v>
      </c>
      <c r="D368" s="10" t="s">
        <v>18</v>
      </c>
      <c r="E368" s="12">
        <v>44546</v>
      </c>
      <c r="F368" s="31">
        <v>340.95</v>
      </c>
      <c r="G368" s="13">
        <v>11</v>
      </c>
      <c r="H368" s="31">
        <f t="shared" si="5"/>
        <v>3750.45</v>
      </c>
    </row>
    <row r="369" spans="1:8" x14ac:dyDescent="0.3">
      <c r="A369" s="17" t="s">
        <v>11</v>
      </c>
      <c r="B369" s="10" t="s">
        <v>24</v>
      </c>
      <c r="C369" s="11" t="s">
        <v>14</v>
      </c>
      <c r="D369" s="10" t="s">
        <v>20</v>
      </c>
      <c r="E369" s="12">
        <v>44195</v>
      </c>
      <c r="F369" s="31">
        <v>79.989999999999995</v>
      </c>
      <c r="G369" s="13">
        <v>5</v>
      </c>
      <c r="H369" s="31">
        <f t="shared" si="5"/>
        <v>399.95</v>
      </c>
    </row>
    <row r="370" spans="1:8" x14ac:dyDescent="0.3">
      <c r="A370" s="9" t="s">
        <v>3</v>
      </c>
      <c r="B370" s="10" t="s">
        <v>25</v>
      </c>
      <c r="C370" s="11" t="s">
        <v>15</v>
      </c>
      <c r="D370" s="10" t="s">
        <v>22</v>
      </c>
      <c r="E370" s="12">
        <v>44384</v>
      </c>
      <c r="F370" s="31">
        <v>340.95</v>
      </c>
      <c r="G370" s="13">
        <v>7</v>
      </c>
      <c r="H370" s="31">
        <f t="shared" si="5"/>
        <v>2386.65</v>
      </c>
    </row>
    <row r="371" spans="1:8" x14ac:dyDescent="0.3">
      <c r="A371" s="17" t="s">
        <v>12</v>
      </c>
      <c r="B371" s="10" t="s">
        <v>25</v>
      </c>
      <c r="C371" s="11" t="s">
        <v>15</v>
      </c>
      <c r="D371" s="10" t="s">
        <v>19</v>
      </c>
      <c r="E371" s="12">
        <v>43969</v>
      </c>
      <c r="F371" s="31">
        <v>340.95</v>
      </c>
      <c r="G371" s="13">
        <v>12</v>
      </c>
      <c r="H371" s="31">
        <f t="shared" si="5"/>
        <v>4091.3999999999996</v>
      </c>
    </row>
    <row r="372" spans="1:8" x14ac:dyDescent="0.3">
      <c r="A372" s="9" t="s">
        <v>3</v>
      </c>
      <c r="B372" s="10" t="s">
        <v>25</v>
      </c>
      <c r="C372" s="11" t="s">
        <v>15</v>
      </c>
      <c r="D372" s="10" t="s">
        <v>20</v>
      </c>
      <c r="E372" s="12">
        <v>43902</v>
      </c>
      <c r="F372" s="31">
        <v>340.95</v>
      </c>
      <c r="G372" s="13">
        <v>6</v>
      </c>
      <c r="H372" s="31">
        <f t="shared" si="5"/>
        <v>2045.6999999999998</v>
      </c>
    </row>
    <row r="373" spans="1:8" x14ac:dyDescent="0.3">
      <c r="A373" s="9" t="s">
        <v>13</v>
      </c>
      <c r="B373" s="10" t="s">
        <v>24</v>
      </c>
      <c r="C373" s="11" t="s">
        <v>16</v>
      </c>
      <c r="D373" s="10" t="s">
        <v>22</v>
      </c>
      <c r="E373" s="12">
        <v>44443</v>
      </c>
      <c r="F373" s="31">
        <v>79.989999999999995</v>
      </c>
      <c r="G373" s="13">
        <v>7</v>
      </c>
      <c r="H373" s="31">
        <f t="shared" si="5"/>
        <v>559.92999999999995</v>
      </c>
    </row>
    <row r="374" spans="1:8" x14ac:dyDescent="0.3">
      <c r="A374" s="17" t="s">
        <v>11</v>
      </c>
      <c r="B374" s="10" t="s">
        <v>27</v>
      </c>
      <c r="C374" s="11" t="s">
        <v>14</v>
      </c>
      <c r="D374" s="10" t="s">
        <v>22</v>
      </c>
      <c r="E374" s="12">
        <v>44224</v>
      </c>
      <c r="F374" s="31">
        <v>799.95</v>
      </c>
      <c r="G374" s="13">
        <v>11</v>
      </c>
      <c r="H374" s="31">
        <f t="shared" si="5"/>
        <v>8799.4500000000007</v>
      </c>
    </row>
    <row r="375" spans="1:8" x14ac:dyDescent="0.3">
      <c r="A375" s="9" t="s">
        <v>2</v>
      </c>
      <c r="B375" s="10" t="s">
        <v>27</v>
      </c>
      <c r="C375" s="11" t="s">
        <v>14</v>
      </c>
      <c r="D375" s="10" t="s">
        <v>20</v>
      </c>
      <c r="E375" s="12">
        <v>44410</v>
      </c>
      <c r="F375" s="31">
        <v>799.95</v>
      </c>
      <c r="G375" s="13">
        <v>5</v>
      </c>
      <c r="H375" s="31">
        <f t="shared" si="5"/>
        <v>3999.75</v>
      </c>
    </row>
    <row r="376" spans="1:8" x14ac:dyDescent="0.3">
      <c r="A376" s="9" t="s">
        <v>3</v>
      </c>
      <c r="B376" s="10" t="s">
        <v>27</v>
      </c>
      <c r="C376" s="11" t="s">
        <v>15</v>
      </c>
      <c r="D376" s="10" t="s">
        <v>18</v>
      </c>
      <c r="E376" s="12">
        <v>44423</v>
      </c>
      <c r="F376" s="31">
        <v>799.95</v>
      </c>
      <c r="G376" s="13">
        <v>16</v>
      </c>
      <c r="H376" s="31">
        <f t="shared" si="5"/>
        <v>12799.2</v>
      </c>
    </row>
    <row r="377" spans="1:8" x14ac:dyDescent="0.3">
      <c r="A377" s="9" t="s">
        <v>13</v>
      </c>
      <c r="B377" s="10" t="s">
        <v>24</v>
      </c>
      <c r="C377" s="11" t="s">
        <v>16</v>
      </c>
      <c r="D377" s="10" t="s">
        <v>22</v>
      </c>
      <c r="E377" s="12">
        <v>43966</v>
      </c>
      <c r="F377" s="31">
        <v>79.989999999999995</v>
      </c>
      <c r="G377" s="13">
        <v>3</v>
      </c>
      <c r="H377" s="31">
        <f t="shared" si="5"/>
        <v>239.96999999999997</v>
      </c>
    </row>
    <row r="378" spans="1:8" x14ac:dyDescent="0.3">
      <c r="A378" s="9" t="s">
        <v>5</v>
      </c>
      <c r="B378" s="10" t="s">
        <v>24</v>
      </c>
      <c r="C378" s="11" t="s">
        <v>15</v>
      </c>
      <c r="D378" s="10" t="s">
        <v>18</v>
      </c>
      <c r="E378" s="12">
        <v>43939</v>
      </c>
      <c r="F378" s="31">
        <v>79.989999999999995</v>
      </c>
      <c r="G378" s="13">
        <v>12</v>
      </c>
      <c r="H378" s="31">
        <f t="shared" si="5"/>
        <v>959.87999999999988</v>
      </c>
    </row>
    <row r="379" spans="1:8" x14ac:dyDescent="0.3">
      <c r="A379" s="17" t="s">
        <v>11</v>
      </c>
      <c r="B379" s="10" t="s">
        <v>25</v>
      </c>
      <c r="C379" s="11" t="s">
        <v>14</v>
      </c>
      <c r="D379" s="10" t="s">
        <v>22</v>
      </c>
      <c r="E379" s="12">
        <v>44178</v>
      </c>
      <c r="F379" s="31">
        <v>340.95</v>
      </c>
      <c r="G379" s="13">
        <v>1</v>
      </c>
      <c r="H379" s="31">
        <f t="shared" si="5"/>
        <v>340.95</v>
      </c>
    </row>
    <row r="380" spans="1:8" x14ac:dyDescent="0.3">
      <c r="A380" s="9" t="s">
        <v>3</v>
      </c>
      <c r="B380" s="10" t="s">
        <v>25</v>
      </c>
      <c r="C380" s="11" t="s">
        <v>15</v>
      </c>
      <c r="D380" s="10" t="s">
        <v>19</v>
      </c>
      <c r="E380" s="12">
        <v>44192</v>
      </c>
      <c r="F380" s="31">
        <v>340.95</v>
      </c>
      <c r="G380" s="13">
        <v>3</v>
      </c>
      <c r="H380" s="31">
        <f t="shared" si="5"/>
        <v>1022.8499999999999</v>
      </c>
    </row>
    <row r="381" spans="1:8" x14ac:dyDescent="0.3">
      <c r="A381" s="9" t="s">
        <v>9</v>
      </c>
      <c r="B381" s="10" t="s">
        <v>26</v>
      </c>
      <c r="C381" s="11" t="s">
        <v>15</v>
      </c>
      <c r="D381" s="10" t="s">
        <v>20</v>
      </c>
      <c r="E381" s="12">
        <v>44209</v>
      </c>
      <c r="F381" s="31">
        <v>168.95</v>
      </c>
      <c r="G381" s="13">
        <v>1</v>
      </c>
      <c r="H381" s="31">
        <f t="shared" si="5"/>
        <v>168.95</v>
      </c>
    </row>
    <row r="382" spans="1:8" x14ac:dyDescent="0.3">
      <c r="A382" s="9" t="s">
        <v>3</v>
      </c>
      <c r="B382" s="10" t="s">
        <v>25</v>
      </c>
      <c r="C382" s="11" t="s">
        <v>15</v>
      </c>
      <c r="D382" s="10" t="s">
        <v>21</v>
      </c>
      <c r="E382" s="12">
        <v>43952</v>
      </c>
      <c r="F382" s="31">
        <v>340.95</v>
      </c>
      <c r="G382" s="13">
        <v>8</v>
      </c>
      <c r="H382" s="31">
        <f t="shared" si="5"/>
        <v>2727.6</v>
      </c>
    </row>
    <row r="383" spans="1:8" x14ac:dyDescent="0.3">
      <c r="A383" s="17" t="s">
        <v>12</v>
      </c>
      <c r="B383" s="10" t="s">
        <v>25</v>
      </c>
      <c r="C383" s="11" t="s">
        <v>15</v>
      </c>
      <c r="D383" s="10" t="s">
        <v>18</v>
      </c>
      <c r="E383" s="12">
        <v>44249</v>
      </c>
      <c r="F383" s="31">
        <v>340.95</v>
      </c>
      <c r="G383" s="13">
        <v>19</v>
      </c>
      <c r="H383" s="31">
        <f t="shared" si="5"/>
        <v>6478.05</v>
      </c>
    </row>
    <row r="384" spans="1:8" x14ac:dyDescent="0.3">
      <c r="A384" s="9" t="s">
        <v>13</v>
      </c>
      <c r="B384" s="10" t="s">
        <v>26</v>
      </c>
      <c r="C384" s="11" t="s">
        <v>16</v>
      </c>
      <c r="D384" s="10" t="s">
        <v>22</v>
      </c>
      <c r="E384" s="12">
        <v>43971</v>
      </c>
      <c r="F384" s="31">
        <v>168.95</v>
      </c>
      <c r="G384" s="13">
        <v>11</v>
      </c>
      <c r="H384" s="31">
        <f t="shared" si="5"/>
        <v>1858.4499999999998</v>
      </c>
    </row>
    <row r="385" spans="1:8" x14ac:dyDescent="0.3">
      <c r="A385" s="9" t="s">
        <v>3</v>
      </c>
      <c r="B385" s="10" t="s">
        <v>26</v>
      </c>
      <c r="C385" s="11" t="s">
        <v>15</v>
      </c>
      <c r="D385" s="10" t="s">
        <v>21</v>
      </c>
      <c r="E385" s="12">
        <v>44464</v>
      </c>
      <c r="F385" s="31">
        <v>168.95</v>
      </c>
      <c r="G385" s="13">
        <v>6</v>
      </c>
      <c r="H385" s="31">
        <f t="shared" si="5"/>
        <v>1013.6999999999999</v>
      </c>
    </row>
    <row r="386" spans="1:8" x14ac:dyDescent="0.3">
      <c r="A386" s="9" t="s">
        <v>9</v>
      </c>
      <c r="B386" s="10" t="s">
        <v>23</v>
      </c>
      <c r="C386" s="11" t="s">
        <v>15</v>
      </c>
      <c r="D386" s="10" t="s">
        <v>20</v>
      </c>
      <c r="E386" s="12">
        <v>44112</v>
      </c>
      <c r="F386" s="31">
        <v>340.95</v>
      </c>
      <c r="G386" s="13">
        <v>6</v>
      </c>
      <c r="H386" s="31">
        <f t="shared" ref="H386:H449" si="6">F386*G386</f>
        <v>2045.6999999999998</v>
      </c>
    </row>
    <row r="387" spans="1:8" x14ac:dyDescent="0.3">
      <c r="A387" s="9" t="s">
        <v>7</v>
      </c>
      <c r="B387" s="10" t="s">
        <v>24</v>
      </c>
      <c r="C387" s="11" t="s">
        <v>17</v>
      </c>
      <c r="D387" s="10" t="s">
        <v>19</v>
      </c>
      <c r="E387" s="12">
        <v>43994</v>
      </c>
      <c r="F387" s="31">
        <v>79.989999999999995</v>
      </c>
      <c r="G387" s="13">
        <v>14</v>
      </c>
      <c r="H387" s="31">
        <f t="shared" si="6"/>
        <v>1119.8599999999999</v>
      </c>
    </row>
    <row r="388" spans="1:8" x14ac:dyDescent="0.3">
      <c r="A388" s="17" t="s">
        <v>6</v>
      </c>
      <c r="B388" s="10" t="s">
        <v>24</v>
      </c>
      <c r="C388" s="11" t="s">
        <v>14</v>
      </c>
      <c r="D388" s="10" t="s">
        <v>22</v>
      </c>
      <c r="E388" s="12">
        <v>44392</v>
      </c>
      <c r="F388" s="31">
        <v>79.989999999999995</v>
      </c>
      <c r="G388" s="13">
        <v>8</v>
      </c>
      <c r="H388" s="31">
        <f t="shared" si="6"/>
        <v>639.91999999999996</v>
      </c>
    </row>
    <row r="389" spans="1:8" x14ac:dyDescent="0.3">
      <c r="A389" s="17" t="s">
        <v>10</v>
      </c>
      <c r="B389" s="10" t="s">
        <v>27</v>
      </c>
      <c r="C389" s="11" t="s">
        <v>16</v>
      </c>
      <c r="D389" s="10" t="s">
        <v>22</v>
      </c>
      <c r="E389" s="12">
        <v>44311</v>
      </c>
      <c r="F389" s="31">
        <v>799.95</v>
      </c>
      <c r="G389" s="13">
        <v>14</v>
      </c>
      <c r="H389" s="31">
        <f t="shared" si="6"/>
        <v>11199.300000000001</v>
      </c>
    </row>
    <row r="390" spans="1:8" x14ac:dyDescent="0.3">
      <c r="A390" s="17" t="s">
        <v>4</v>
      </c>
      <c r="B390" s="10" t="s">
        <v>26</v>
      </c>
      <c r="C390" s="11" t="s">
        <v>14</v>
      </c>
      <c r="D390" s="10" t="s">
        <v>22</v>
      </c>
      <c r="E390" s="12">
        <v>44388</v>
      </c>
      <c r="F390" s="31">
        <v>168.95</v>
      </c>
      <c r="G390" s="13">
        <v>4</v>
      </c>
      <c r="H390" s="31">
        <f t="shared" si="6"/>
        <v>675.8</v>
      </c>
    </row>
    <row r="391" spans="1:8" x14ac:dyDescent="0.3">
      <c r="A391" s="9" t="s">
        <v>13</v>
      </c>
      <c r="B391" s="10" t="s">
        <v>24</v>
      </c>
      <c r="C391" s="11" t="s">
        <v>16</v>
      </c>
      <c r="D391" s="10" t="s">
        <v>21</v>
      </c>
      <c r="E391" s="12">
        <v>44555</v>
      </c>
      <c r="F391" s="31">
        <v>79.989999999999995</v>
      </c>
      <c r="G391" s="13">
        <v>11</v>
      </c>
      <c r="H391" s="31">
        <f t="shared" si="6"/>
        <v>879.89</v>
      </c>
    </row>
    <row r="392" spans="1:8" x14ac:dyDescent="0.3">
      <c r="A392" s="9" t="s">
        <v>13</v>
      </c>
      <c r="B392" s="10" t="s">
        <v>23</v>
      </c>
      <c r="C392" s="11" t="s">
        <v>16</v>
      </c>
      <c r="D392" s="10" t="s">
        <v>22</v>
      </c>
      <c r="E392" s="12">
        <v>44147</v>
      </c>
      <c r="F392" s="31">
        <v>340.95</v>
      </c>
      <c r="G392" s="13">
        <v>2</v>
      </c>
      <c r="H392" s="31">
        <f t="shared" si="6"/>
        <v>681.9</v>
      </c>
    </row>
    <row r="393" spans="1:8" x14ac:dyDescent="0.3">
      <c r="A393" s="17" t="s">
        <v>12</v>
      </c>
      <c r="B393" s="10" t="s">
        <v>24</v>
      </c>
      <c r="C393" s="11" t="s">
        <v>15</v>
      </c>
      <c r="D393" s="10" t="s">
        <v>21</v>
      </c>
      <c r="E393" s="12">
        <v>44448</v>
      </c>
      <c r="F393" s="31">
        <v>79.989999999999995</v>
      </c>
      <c r="G393" s="13">
        <v>2</v>
      </c>
      <c r="H393" s="31">
        <f t="shared" si="6"/>
        <v>159.97999999999999</v>
      </c>
    </row>
    <row r="394" spans="1:8" x14ac:dyDescent="0.3">
      <c r="A394" s="9" t="s">
        <v>13</v>
      </c>
      <c r="B394" s="10" t="s">
        <v>24</v>
      </c>
      <c r="C394" s="11" t="s">
        <v>16</v>
      </c>
      <c r="D394" s="10" t="s">
        <v>21</v>
      </c>
      <c r="E394" s="12">
        <v>43837</v>
      </c>
      <c r="F394" s="31">
        <v>79.989999999999995</v>
      </c>
      <c r="G394" s="13">
        <v>7</v>
      </c>
      <c r="H394" s="31">
        <f t="shared" si="6"/>
        <v>559.92999999999995</v>
      </c>
    </row>
    <row r="395" spans="1:8" x14ac:dyDescent="0.3">
      <c r="A395" s="17" t="s">
        <v>6</v>
      </c>
      <c r="B395" s="10" t="s">
        <v>24</v>
      </c>
      <c r="C395" s="11" t="s">
        <v>14</v>
      </c>
      <c r="D395" s="10" t="s">
        <v>18</v>
      </c>
      <c r="E395" s="12">
        <v>44154</v>
      </c>
      <c r="F395" s="31">
        <v>79.989999999999995</v>
      </c>
      <c r="G395" s="13">
        <v>13</v>
      </c>
      <c r="H395" s="31">
        <f t="shared" si="6"/>
        <v>1039.8699999999999</v>
      </c>
    </row>
    <row r="396" spans="1:8" x14ac:dyDescent="0.3">
      <c r="A396" s="9" t="s">
        <v>9</v>
      </c>
      <c r="B396" s="10" t="s">
        <v>27</v>
      </c>
      <c r="C396" s="11" t="s">
        <v>15</v>
      </c>
      <c r="D396" s="10" t="s">
        <v>22</v>
      </c>
      <c r="E396" s="12">
        <v>44088</v>
      </c>
      <c r="F396" s="31">
        <v>799.95</v>
      </c>
      <c r="G396" s="13">
        <v>10</v>
      </c>
      <c r="H396" s="31">
        <f t="shared" si="6"/>
        <v>7999.5</v>
      </c>
    </row>
    <row r="397" spans="1:8" x14ac:dyDescent="0.3">
      <c r="A397" s="17" t="s">
        <v>10</v>
      </c>
      <c r="B397" s="10" t="s">
        <v>23</v>
      </c>
      <c r="C397" s="11" t="s">
        <v>16</v>
      </c>
      <c r="D397" s="10" t="s">
        <v>21</v>
      </c>
      <c r="E397" s="12">
        <v>44101</v>
      </c>
      <c r="F397" s="31">
        <v>340.95</v>
      </c>
      <c r="G397" s="13">
        <v>1</v>
      </c>
      <c r="H397" s="31">
        <f t="shared" si="6"/>
        <v>340.95</v>
      </c>
    </row>
    <row r="398" spans="1:8" x14ac:dyDescent="0.3">
      <c r="A398" s="9" t="s">
        <v>5</v>
      </c>
      <c r="B398" s="10" t="s">
        <v>26</v>
      </c>
      <c r="C398" s="11" t="s">
        <v>15</v>
      </c>
      <c r="D398" s="10" t="s">
        <v>18</v>
      </c>
      <c r="E398" s="12">
        <v>44195</v>
      </c>
      <c r="F398" s="31">
        <v>168.95</v>
      </c>
      <c r="G398" s="13">
        <v>9</v>
      </c>
      <c r="H398" s="31">
        <f t="shared" si="6"/>
        <v>1520.55</v>
      </c>
    </row>
    <row r="399" spans="1:8" x14ac:dyDescent="0.3">
      <c r="A399" s="9" t="s">
        <v>3</v>
      </c>
      <c r="B399" s="10" t="s">
        <v>25</v>
      </c>
      <c r="C399" s="11" t="s">
        <v>15</v>
      </c>
      <c r="D399" s="10" t="s">
        <v>18</v>
      </c>
      <c r="E399" s="12">
        <v>43867</v>
      </c>
      <c r="F399" s="31">
        <v>340.95</v>
      </c>
      <c r="G399" s="13">
        <v>17</v>
      </c>
      <c r="H399" s="31">
        <f t="shared" si="6"/>
        <v>5796.15</v>
      </c>
    </row>
    <row r="400" spans="1:8" x14ac:dyDescent="0.3">
      <c r="A400" s="9" t="s">
        <v>2</v>
      </c>
      <c r="B400" s="10" t="s">
        <v>27</v>
      </c>
      <c r="C400" s="11" t="s">
        <v>14</v>
      </c>
      <c r="D400" s="10" t="s">
        <v>19</v>
      </c>
      <c r="E400" s="12">
        <v>44065</v>
      </c>
      <c r="F400" s="31">
        <v>799.95</v>
      </c>
      <c r="G400" s="13">
        <v>13</v>
      </c>
      <c r="H400" s="31">
        <f t="shared" si="6"/>
        <v>10399.35</v>
      </c>
    </row>
    <row r="401" spans="1:8" x14ac:dyDescent="0.3">
      <c r="A401" s="9" t="s">
        <v>9</v>
      </c>
      <c r="B401" s="10" t="s">
        <v>25</v>
      </c>
      <c r="C401" s="11" t="s">
        <v>15</v>
      </c>
      <c r="D401" s="10" t="s">
        <v>22</v>
      </c>
      <c r="E401" s="12">
        <v>44112</v>
      </c>
      <c r="F401" s="31">
        <v>340.95</v>
      </c>
      <c r="G401" s="13">
        <v>15</v>
      </c>
      <c r="H401" s="31">
        <f t="shared" si="6"/>
        <v>5114.25</v>
      </c>
    </row>
    <row r="402" spans="1:8" x14ac:dyDescent="0.3">
      <c r="A402" s="9" t="s">
        <v>2</v>
      </c>
      <c r="B402" s="10" t="s">
        <v>25</v>
      </c>
      <c r="C402" s="11" t="s">
        <v>14</v>
      </c>
      <c r="D402" s="10" t="s">
        <v>19</v>
      </c>
      <c r="E402" s="12">
        <v>43884</v>
      </c>
      <c r="F402" s="31">
        <v>340.95</v>
      </c>
      <c r="G402" s="13">
        <v>12</v>
      </c>
      <c r="H402" s="31">
        <f t="shared" si="6"/>
        <v>4091.3999999999996</v>
      </c>
    </row>
    <row r="403" spans="1:8" x14ac:dyDescent="0.3">
      <c r="A403" s="17" t="s">
        <v>12</v>
      </c>
      <c r="B403" s="10" t="s">
        <v>24</v>
      </c>
      <c r="C403" s="11" t="s">
        <v>15</v>
      </c>
      <c r="D403" s="10" t="s">
        <v>19</v>
      </c>
      <c r="E403" s="12">
        <v>44394</v>
      </c>
      <c r="F403" s="31">
        <v>79.989999999999995</v>
      </c>
      <c r="G403" s="13">
        <v>12</v>
      </c>
      <c r="H403" s="31">
        <f t="shared" si="6"/>
        <v>959.87999999999988</v>
      </c>
    </row>
    <row r="404" spans="1:8" x14ac:dyDescent="0.3">
      <c r="A404" s="17" t="s">
        <v>8</v>
      </c>
      <c r="B404" s="10" t="s">
        <v>24</v>
      </c>
      <c r="C404" s="11" t="s">
        <v>17</v>
      </c>
      <c r="D404" s="10" t="s">
        <v>21</v>
      </c>
      <c r="E404" s="12">
        <v>44541</v>
      </c>
      <c r="F404" s="31">
        <v>79.989999999999995</v>
      </c>
      <c r="G404" s="13">
        <v>15</v>
      </c>
      <c r="H404" s="31">
        <f t="shared" si="6"/>
        <v>1199.8499999999999</v>
      </c>
    </row>
    <row r="405" spans="1:8" x14ac:dyDescent="0.3">
      <c r="A405" s="17" t="s">
        <v>4</v>
      </c>
      <c r="B405" s="10" t="s">
        <v>26</v>
      </c>
      <c r="C405" s="11" t="s">
        <v>14</v>
      </c>
      <c r="D405" s="10" t="s">
        <v>21</v>
      </c>
      <c r="E405" s="12">
        <v>44374</v>
      </c>
      <c r="F405" s="31">
        <v>168.95</v>
      </c>
      <c r="G405" s="13">
        <v>13</v>
      </c>
      <c r="H405" s="31">
        <f t="shared" si="6"/>
        <v>2196.35</v>
      </c>
    </row>
    <row r="406" spans="1:8" x14ac:dyDescent="0.3">
      <c r="A406" s="9" t="s">
        <v>7</v>
      </c>
      <c r="B406" s="10" t="s">
        <v>23</v>
      </c>
      <c r="C406" s="11" t="s">
        <v>17</v>
      </c>
      <c r="D406" s="10" t="s">
        <v>19</v>
      </c>
      <c r="E406" s="12">
        <v>44534</v>
      </c>
      <c r="F406" s="31">
        <v>340.95</v>
      </c>
      <c r="G406" s="13">
        <v>13</v>
      </c>
      <c r="H406" s="31">
        <f t="shared" si="6"/>
        <v>4432.3499999999995</v>
      </c>
    </row>
    <row r="407" spans="1:8" x14ac:dyDescent="0.3">
      <c r="A407" s="9" t="s">
        <v>5</v>
      </c>
      <c r="B407" s="10" t="s">
        <v>23</v>
      </c>
      <c r="C407" s="11" t="s">
        <v>15</v>
      </c>
      <c r="D407" s="10" t="s">
        <v>18</v>
      </c>
      <c r="E407" s="12">
        <v>44476</v>
      </c>
      <c r="F407" s="31">
        <v>340.95</v>
      </c>
      <c r="G407" s="13">
        <v>12</v>
      </c>
      <c r="H407" s="31">
        <f t="shared" si="6"/>
        <v>4091.3999999999996</v>
      </c>
    </row>
    <row r="408" spans="1:8" x14ac:dyDescent="0.3">
      <c r="A408" s="9" t="s">
        <v>7</v>
      </c>
      <c r="B408" s="10" t="s">
        <v>26</v>
      </c>
      <c r="C408" s="11" t="s">
        <v>17</v>
      </c>
      <c r="D408" s="10" t="s">
        <v>20</v>
      </c>
      <c r="E408" s="12">
        <v>44521</v>
      </c>
      <c r="F408" s="31">
        <v>168.95</v>
      </c>
      <c r="G408" s="13">
        <v>3</v>
      </c>
      <c r="H408" s="31">
        <f t="shared" si="6"/>
        <v>506.84999999999997</v>
      </c>
    </row>
    <row r="409" spans="1:8" x14ac:dyDescent="0.3">
      <c r="A409" s="17" t="s">
        <v>10</v>
      </c>
      <c r="B409" s="10" t="s">
        <v>24</v>
      </c>
      <c r="C409" s="11" t="s">
        <v>16</v>
      </c>
      <c r="D409" s="10" t="s">
        <v>22</v>
      </c>
      <c r="E409" s="12">
        <v>44427</v>
      </c>
      <c r="F409" s="31">
        <v>79.989999999999995</v>
      </c>
      <c r="G409" s="13">
        <v>7</v>
      </c>
      <c r="H409" s="31">
        <f t="shared" si="6"/>
        <v>559.92999999999995</v>
      </c>
    </row>
    <row r="410" spans="1:8" x14ac:dyDescent="0.3">
      <c r="A410" s="17" t="s">
        <v>8</v>
      </c>
      <c r="B410" s="10" t="s">
        <v>23</v>
      </c>
      <c r="C410" s="11" t="s">
        <v>17</v>
      </c>
      <c r="D410" s="10" t="s">
        <v>18</v>
      </c>
      <c r="E410" s="12">
        <v>43844</v>
      </c>
      <c r="F410" s="31">
        <v>340.95</v>
      </c>
      <c r="G410" s="13">
        <v>13</v>
      </c>
      <c r="H410" s="31">
        <f t="shared" si="6"/>
        <v>4432.3499999999995</v>
      </c>
    </row>
    <row r="411" spans="1:8" x14ac:dyDescent="0.3">
      <c r="A411" s="9" t="s">
        <v>2</v>
      </c>
      <c r="B411" s="10" t="s">
        <v>24</v>
      </c>
      <c r="C411" s="11" t="s">
        <v>14</v>
      </c>
      <c r="D411" s="10" t="s">
        <v>18</v>
      </c>
      <c r="E411" s="12">
        <v>44287</v>
      </c>
      <c r="F411" s="31">
        <v>79.989999999999995</v>
      </c>
      <c r="G411" s="13">
        <v>9</v>
      </c>
      <c r="H411" s="31">
        <f t="shared" si="6"/>
        <v>719.91</v>
      </c>
    </row>
    <row r="412" spans="1:8" x14ac:dyDescent="0.3">
      <c r="A412" s="17" t="s">
        <v>6</v>
      </c>
      <c r="B412" s="10" t="s">
        <v>27</v>
      </c>
      <c r="C412" s="11" t="s">
        <v>14</v>
      </c>
      <c r="D412" s="10" t="s">
        <v>21</v>
      </c>
      <c r="E412" s="12">
        <v>44540</v>
      </c>
      <c r="F412" s="31">
        <v>799.95</v>
      </c>
      <c r="G412" s="13">
        <v>5</v>
      </c>
      <c r="H412" s="31">
        <f t="shared" si="6"/>
        <v>3999.75</v>
      </c>
    </row>
    <row r="413" spans="1:8" x14ac:dyDescent="0.3">
      <c r="A413" s="17" t="s">
        <v>4</v>
      </c>
      <c r="B413" s="10" t="s">
        <v>27</v>
      </c>
      <c r="C413" s="11" t="s">
        <v>14</v>
      </c>
      <c r="D413" s="10" t="s">
        <v>21</v>
      </c>
      <c r="E413" s="12">
        <v>44129</v>
      </c>
      <c r="F413" s="31">
        <v>799.95</v>
      </c>
      <c r="G413" s="13">
        <v>2</v>
      </c>
      <c r="H413" s="31">
        <f t="shared" si="6"/>
        <v>1599.9</v>
      </c>
    </row>
    <row r="414" spans="1:8" x14ac:dyDescent="0.3">
      <c r="A414" s="17" t="s">
        <v>4</v>
      </c>
      <c r="B414" s="10" t="s">
        <v>26</v>
      </c>
      <c r="C414" s="11" t="s">
        <v>14</v>
      </c>
      <c r="D414" s="10" t="s">
        <v>19</v>
      </c>
      <c r="E414" s="12">
        <v>44309</v>
      </c>
      <c r="F414" s="31">
        <v>168.95</v>
      </c>
      <c r="G414" s="13">
        <v>12</v>
      </c>
      <c r="H414" s="31">
        <f t="shared" si="6"/>
        <v>2027.3999999999999</v>
      </c>
    </row>
    <row r="415" spans="1:8" x14ac:dyDescent="0.3">
      <c r="A415" s="17" t="s">
        <v>8</v>
      </c>
      <c r="B415" s="10" t="s">
        <v>23</v>
      </c>
      <c r="C415" s="11" t="s">
        <v>17</v>
      </c>
      <c r="D415" s="10" t="s">
        <v>19</v>
      </c>
      <c r="E415" s="12">
        <v>43962</v>
      </c>
      <c r="F415" s="31">
        <v>340.95</v>
      </c>
      <c r="G415" s="13">
        <v>15</v>
      </c>
      <c r="H415" s="31">
        <f t="shared" si="6"/>
        <v>5114.25</v>
      </c>
    </row>
    <row r="416" spans="1:8" x14ac:dyDescent="0.3">
      <c r="A416" s="17" t="s">
        <v>4</v>
      </c>
      <c r="B416" s="10" t="s">
        <v>26</v>
      </c>
      <c r="C416" s="11" t="s">
        <v>14</v>
      </c>
      <c r="D416" s="10" t="s">
        <v>20</v>
      </c>
      <c r="E416" s="12">
        <v>44077</v>
      </c>
      <c r="F416" s="31">
        <v>168.95</v>
      </c>
      <c r="G416" s="13">
        <v>12</v>
      </c>
      <c r="H416" s="31">
        <f t="shared" si="6"/>
        <v>2027.3999999999999</v>
      </c>
    </row>
    <row r="417" spans="1:8" x14ac:dyDescent="0.3">
      <c r="A417" s="9" t="s">
        <v>2</v>
      </c>
      <c r="B417" s="10" t="s">
        <v>23</v>
      </c>
      <c r="C417" s="11" t="s">
        <v>14</v>
      </c>
      <c r="D417" s="10" t="s">
        <v>19</v>
      </c>
      <c r="E417" s="12">
        <v>43911</v>
      </c>
      <c r="F417" s="31">
        <v>340.95</v>
      </c>
      <c r="G417" s="13">
        <v>1</v>
      </c>
      <c r="H417" s="31">
        <f t="shared" si="6"/>
        <v>340.95</v>
      </c>
    </row>
    <row r="418" spans="1:8" x14ac:dyDescent="0.3">
      <c r="A418" s="17" t="s">
        <v>12</v>
      </c>
      <c r="B418" s="10" t="s">
        <v>23</v>
      </c>
      <c r="C418" s="11" t="s">
        <v>15</v>
      </c>
      <c r="D418" s="10" t="s">
        <v>18</v>
      </c>
      <c r="E418" s="12">
        <v>43894</v>
      </c>
      <c r="F418" s="31">
        <v>340.95</v>
      </c>
      <c r="G418" s="13">
        <v>20</v>
      </c>
      <c r="H418" s="31">
        <f t="shared" si="6"/>
        <v>6819</v>
      </c>
    </row>
    <row r="419" spans="1:8" x14ac:dyDescent="0.3">
      <c r="A419" s="9" t="s">
        <v>3</v>
      </c>
      <c r="B419" s="10" t="s">
        <v>27</v>
      </c>
      <c r="C419" s="11" t="s">
        <v>15</v>
      </c>
      <c r="D419" s="10" t="s">
        <v>18</v>
      </c>
      <c r="E419" s="12">
        <v>44372</v>
      </c>
      <c r="F419" s="31">
        <v>799.95</v>
      </c>
      <c r="G419" s="13">
        <v>17</v>
      </c>
      <c r="H419" s="31">
        <f t="shared" si="6"/>
        <v>13599.150000000001</v>
      </c>
    </row>
    <row r="420" spans="1:8" x14ac:dyDescent="0.3">
      <c r="A420" s="17" t="s">
        <v>11</v>
      </c>
      <c r="B420" s="10" t="s">
        <v>25</v>
      </c>
      <c r="C420" s="11" t="s">
        <v>14</v>
      </c>
      <c r="D420" s="10" t="s">
        <v>18</v>
      </c>
      <c r="E420" s="12">
        <v>44543</v>
      </c>
      <c r="F420" s="31">
        <v>340.95</v>
      </c>
      <c r="G420" s="13">
        <v>11</v>
      </c>
      <c r="H420" s="31">
        <f t="shared" si="6"/>
        <v>3750.45</v>
      </c>
    </row>
    <row r="421" spans="1:8" x14ac:dyDescent="0.3">
      <c r="A421" s="9" t="s">
        <v>2</v>
      </c>
      <c r="B421" s="10" t="s">
        <v>27</v>
      </c>
      <c r="C421" s="11" t="s">
        <v>14</v>
      </c>
      <c r="D421" s="10" t="s">
        <v>22</v>
      </c>
      <c r="E421" s="12">
        <v>44091</v>
      </c>
      <c r="F421" s="31">
        <v>799.95</v>
      </c>
      <c r="G421" s="13">
        <v>8</v>
      </c>
      <c r="H421" s="31">
        <f t="shared" si="6"/>
        <v>6399.6</v>
      </c>
    </row>
    <row r="422" spans="1:8" x14ac:dyDescent="0.3">
      <c r="A422" s="17" t="s">
        <v>11</v>
      </c>
      <c r="B422" s="10" t="s">
        <v>26</v>
      </c>
      <c r="C422" s="11" t="s">
        <v>14</v>
      </c>
      <c r="D422" s="10" t="s">
        <v>20</v>
      </c>
      <c r="E422" s="12">
        <v>44436</v>
      </c>
      <c r="F422" s="31">
        <v>168.95</v>
      </c>
      <c r="G422" s="13">
        <v>12</v>
      </c>
      <c r="H422" s="31">
        <f t="shared" si="6"/>
        <v>2027.3999999999999</v>
      </c>
    </row>
    <row r="423" spans="1:8" x14ac:dyDescent="0.3">
      <c r="A423" s="9" t="s">
        <v>9</v>
      </c>
      <c r="B423" s="10" t="s">
        <v>26</v>
      </c>
      <c r="C423" s="11" t="s">
        <v>15</v>
      </c>
      <c r="D423" s="10" t="s">
        <v>22</v>
      </c>
      <c r="E423" s="12">
        <v>44055</v>
      </c>
      <c r="F423" s="31">
        <v>168.95</v>
      </c>
      <c r="G423" s="13">
        <v>13</v>
      </c>
      <c r="H423" s="31">
        <f t="shared" si="6"/>
        <v>2196.35</v>
      </c>
    </row>
    <row r="424" spans="1:8" x14ac:dyDescent="0.3">
      <c r="A424" s="17" t="s">
        <v>11</v>
      </c>
      <c r="B424" s="10" t="s">
        <v>23</v>
      </c>
      <c r="C424" s="11" t="s">
        <v>14</v>
      </c>
      <c r="D424" s="10" t="s">
        <v>18</v>
      </c>
      <c r="E424" s="12">
        <v>44158</v>
      </c>
      <c r="F424" s="31">
        <v>340.95</v>
      </c>
      <c r="G424" s="13">
        <v>14</v>
      </c>
      <c r="H424" s="31">
        <f t="shared" si="6"/>
        <v>4773.3</v>
      </c>
    </row>
    <row r="425" spans="1:8" x14ac:dyDescent="0.3">
      <c r="A425" s="17" t="s">
        <v>4</v>
      </c>
      <c r="B425" s="10" t="s">
        <v>27</v>
      </c>
      <c r="C425" s="11" t="s">
        <v>14</v>
      </c>
      <c r="D425" s="10" t="s">
        <v>21</v>
      </c>
      <c r="E425" s="12">
        <v>44134</v>
      </c>
      <c r="F425" s="31">
        <v>799.95</v>
      </c>
      <c r="G425" s="13">
        <v>9</v>
      </c>
      <c r="H425" s="31">
        <f t="shared" si="6"/>
        <v>7199.55</v>
      </c>
    </row>
    <row r="426" spans="1:8" x14ac:dyDescent="0.3">
      <c r="A426" s="9" t="s">
        <v>13</v>
      </c>
      <c r="B426" s="10" t="s">
        <v>25</v>
      </c>
      <c r="C426" s="11" t="s">
        <v>16</v>
      </c>
      <c r="D426" s="10" t="s">
        <v>18</v>
      </c>
      <c r="E426" s="12">
        <v>43845</v>
      </c>
      <c r="F426" s="31">
        <v>340.95</v>
      </c>
      <c r="G426" s="13">
        <v>7</v>
      </c>
      <c r="H426" s="31">
        <f t="shared" si="6"/>
        <v>2386.65</v>
      </c>
    </row>
    <row r="427" spans="1:8" x14ac:dyDescent="0.3">
      <c r="A427" s="9" t="s">
        <v>5</v>
      </c>
      <c r="B427" s="10" t="s">
        <v>23</v>
      </c>
      <c r="C427" s="11" t="s">
        <v>15</v>
      </c>
      <c r="D427" s="10" t="s">
        <v>19</v>
      </c>
      <c r="E427" s="12">
        <v>44296</v>
      </c>
      <c r="F427" s="31">
        <v>340.95</v>
      </c>
      <c r="G427" s="13">
        <v>6</v>
      </c>
      <c r="H427" s="31">
        <f t="shared" si="6"/>
        <v>2045.6999999999998</v>
      </c>
    </row>
    <row r="428" spans="1:8" x14ac:dyDescent="0.3">
      <c r="A428" s="9" t="s">
        <v>3</v>
      </c>
      <c r="B428" s="10" t="s">
        <v>25</v>
      </c>
      <c r="C428" s="11" t="s">
        <v>15</v>
      </c>
      <c r="D428" s="10" t="s">
        <v>21</v>
      </c>
      <c r="E428" s="12">
        <v>44251</v>
      </c>
      <c r="F428" s="31">
        <v>340.95</v>
      </c>
      <c r="G428" s="13">
        <v>11</v>
      </c>
      <c r="H428" s="31">
        <f t="shared" si="6"/>
        <v>3750.45</v>
      </c>
    </row>
    <row r="429" spans="1:8" x14ac:dyDescent="0.3">
      <c r="A429" s="9" t="s">
        <v>5</v>
      </c>
      <c r="B429" s="10" t="s">
        <v>25</v>
      </c>
      <c r="C429" s="11" t="s">
        <v>16</v>
      </c>
      <c r="D429" s="10" t="s">
        <v>21</v>
      </c>
      <c r="E429" s="12">
        <v>44368</v>
      </c>
      <c r="F429" s="31">
        <v>340.95</v>
      </c>
      <c r="G429" s="13">
        <v>7</v>
      </c>
      <c r="H429" s="31">
        <f t="shared" si="6"/>
        <v>2386.65</v>
      </c>
    </row>
    <row r="430" spans="1:8" x14ac:dyDescent="0.3">
      <c r="A430" s="9" t="s">
        <v>9</v>
      </c>
      <c r="B430" s="10" t="s">
        <v>23</v>
      </c>
      <c r="C430" s="11" t="s">
        <v>15</v>
      </c>
      <c r="D430" s="10" t="s">
        <v>19</v>
      </c>
      <c r="E430" s="12">
        <v>44185</v>
      </c>
      <c r="F430" s="31">
        <v>340.95</v>
      </c>
      <c r="G430" s="13">
        <v>11</v>
      </c>
      <c r="H430" s="31">
        <f t="shared" si="6"/>
        <v>3750.45</v>
      </c>
    </row>
    <row r="431" spans="1:8" x14ac:dyDescent="0.3">
      <c r="A431" s="9" t="s">
        <v>5</v>
      </c>
      <c r="B431" s="10" t="s">
        <v>24</v>
      </c>
      <c r="C431" s="11" t="s">
        <v>15</v>
      </c>
      <c r="D431" s="10" t="s">
        <v>22</v>
      </c>
      <c r="E431" s="12">
        <v>44384</v>
      </c>
      <c r="F431" s="31">
        <v>79.989999999999995</v>
      </c>
      <c r="G431" s="13">
        <v>10</v>
      </c>
      <c r="H431" s="31">
        <f t="shared" si="6"/>
        <v>799.9</v>
      </c>
    </row>
    <row r="432" spans="1:8" x14ac:dyDescent="0.3">
      <c r="A432" s="17" t="s">
        <v>11</v>
      </c>
      <c r="B432" s="10" t="s">
        <v>26</v>
      </c>
      <c r="C432" s="11" t="s">
        <v>14</v>
      </c>
      <c r="D432" s="10" t="s">
        <v>18</v>
      </c>
      <c r="E432" s="12">
        <v>43976</v>
      </c>
      <c r="F432" s="31">
        <v>168.95</v>
      </c>
      <c r="G432" s="13">
        <v>9</v>
      </c>
      <c r="H432" s="31">
        <f t="shared" si="6"/>
        <v>1520.55</v>
      </c>
    </row>
    <row r="433" spans="1:8" x14ac:dyDescent="0.3">
      <c r="A433" s="17" t="s">
        <v>4</v>
      </c>
      <c r="B433" s="10" t="s">
        <v>24</v>
      </c>
      <c r="C433" s="11" t="s">
        <v>14</v>
      </c>
      <c r="D433" s="10" t="s">
        <v>22</v>
      </c>
      <c r="E433" s="12">
        <v>44274</v>
      </c>
      <c r="F433" s="31">
        <v>79.989999999999995</v>
      </c>
      <c r="G433" s="13">
        <v>9</v>
      </c>
      <c r="H433" s="31">
        <f t="shared" si="6"/>
        <v>719.91</v>
      </c>
    </row>
    <row r="434" spans="1:8" x14ac:dyDescent="0.3">
      <c r="A434" s="9" t="s">
        <v>13</v>
      </c>
      <c r="B434" s="10" t="s">
        <v>27</v>
      </c>
      <c r="C434" s="11" t="s">
        <v>16</v>
      </c>
      <c r="D434" s="10" t="s">
        <v>21</v>
      </c>
      <c r="E434" s="12">
        <v>44206</v>
      </c>
      <c r="F434" s="31">
        <v>799.95</v>
      </c>
      <c r="G434" s="13">
        <v>8</v>
      </c>
      <c r="H434" s="31">
        <f t="shared" si="6"/>
        <v>6399.6</v>
      </c>
    </row>
    <row r="435" spans="1:8" x14ac:dyDescent="0.3">
      <c r="A435" s="17" t="s">
        <v>10</v>
      </c>
      <c r="B435" s="10" t="s">
        <v>25</v>
      </c>
      <c r="C435" s="11" t="s">
        <v>16</v>
      </c>
      <c r="D435" s="10" t="s">
        <v>21</v>
      </c>
      <c r="E435" s="12">
        <v>43997</v>
      </c>
      <c r="F435" s="31">
        <v>340.95</v>
      </c>
      <c r="G435" s="13">
        <v>6</v>
      </c>
      <c r="H435" s="31">
        <f t="shared" si="6"/>
        <v>2045.6999999999998</v>
      </c>
    </row>
    <row r="436" spans="1:8" x14ac:dyDescent="0.3">
      <c r="A436" s="9" t="s">
        <v>2</v>
      </c>
      <c r="B436" s="10" t="s">
        <v>23</v>
      </c>
      <c r="C436" s="11" t="s">
        <v>14</v>
      </c>
      <c r="D436" s="10" t="s">
        <v>20</v>
      </c>
      <c r="E436" s="12">
        <v>44104</v>
      </c>
      <c r="F436" s="31">
        <v>340.95</v>
      </c>
      <c r="G436" s="13">
        <v>1</v>
      </c>
      <c r="H436" s="31">
        <f t="shared" si="6"/>
        <v>340.95</v>
      </c>
    </row>
    <row r="437" spans="1:8" x14ac:dyDescent="0.3">
      <c r="A437" s="9" t="s">
        <v>7</v>
      </c>
      <c r="B437" s="10" t="s">
        <v>26</v>
      </c>
      <c r="C437" s="11" t="s">
        <v>17</v>
      </c>
      <c r="D437" s="10" t="s">
        <v>19</v>
      </c>
      <c r="E437" s="12">
        <v>44206</v>
      </c>
      <c r="F437" s="31">
        <v>168.95</v>
      </c>
      <c r="G437" s="13">
        <v>6</v>
      </c>
      <c r="H437" s="31">
        <f t="shared" si="6"/>
        <v>1013.6999999999999</v>
      </c>
    </row>
    <row r="438" spans="1:8" x14ac:dyDescent="0.3">
      <c r="A438" s="9" t="s">
        <v>3</v>
      </c>
      <c r="B438" s="10" t="s">
        <v>23</v>
      </c>
      <c r="C438" s="11" t="s">
        <v>15</v>
      </c>
      <c r="D438" s="10" t="s">
        <v>21</v>
      </c>
      <c r="E438" s="12">
        <v>44294</v>
      </c>
      <c r="F438" s="31">
        <v>340.95</v>
      </c>
      <c r="G438" s="13">
        <v>4</v>
      </c>
      <c r="H438" s="31">
        <f t="shared" si="6"/>
        <v>1363.8</v>
      </c>
    </row>
    <row r="439" spans="1:8" x14ac:dyDescent="0.3">
      <c r="A439" s="17" t="s">
        <v>6</v>
      </c>
      <c r="B439" s="10" t="s">
        <v>24</v>
      </c>
      <c r="C439" s="11" t="s">
        <v>14</v>
      </c>
      <c r="D439" s="10" t="s">
        <v>22</v>
      </c>
      <c r="E439" s="12">
        <v>44392</v>
      </c>
      <c r="F439" s="31">
        <v>79.989999999999995</v>
      </c>
      <c r="G439" s="13">
        <v>12</v>
      </c>
      <c r="H439" s="31">
        <f t="shared" si="6"/>
        <v>959.87999999999988</v>
      </c>
    </row>
    <row r="440" spans="1:8" x14ac:dyDescent="0.3">
      <c r="A440" s="9" t="s">
        <v>5</v>
      </c>
      <c r="B440" s="10" t="s">
        <v>25</v>
      </c>
      <c r="C440" s="11" t="s">
        <v>16</v>
      </c>
      <c r="D440" s="10" t="s">
        <v>22</v>
      </c>
      <c r="E440" s="12">
        <v>44522</v>
      </c>
      <c r="F440" s="31">
        <v>340.95</v>
      </c>
      <c r="G440" s="13">
        <v>7</v>
      </c>
      <c r="H440" s="31">
        <f t="shared" si="6"/>
        <v>2386.65</v>
      </c>
    </row>
    <row r="441" spans="1:8" x14ac:dyDescent="0.3">
      <c r="A441" s="17" t="s">
        <v>4</v>
      </c>
      <c r="B441" s="10" t="s">
        <v>23</v>
      </c>
      <c r="C441" s="11" t="s">
        <v>14</v>
      </c>
      <c r="D441" s="10" t="s">
        <v>19</v>
      </c>
      <c r="E441" s="12">
        <v>43951</v>
      </c>
      <c r="F441" s="31">
        <v>340.95</v>
      </c>
      <c r="G441" s="13">
        <v>11</v>
      </c>
      <c r="H441" s="31">
        <f t="shared" si="6"/>
        <v>3750.45</v>
      </c>
    </row>
    <row r="442" spans="1:8" x14ac:dyDescent="0.3">
      <c r="A442" s="9" t="s">
        <v>5</v>
      </c>
      <c r="B442" s="10" t="s">
        <v>26</v>
      </c>
      <c r="C442" s="11" t="s">
        <v>15</v>
      </c>
      <c r="D442" s="10" t="s">
        <v>21</v>
      </c>
      <c r="E442" s="12">
        <v>44546</v>
      </c>
      <c r="F442" s="31">
        <v>168.95</v>
      </c>
      <c r="G442" s="13">
        <v>4</v>
      </c>
      <c r="H442" s="31">
        <f t="shared" si="6"/>
        <v>675.8</v>
      </c>
    </row>
    <row r="443" spans="1:8" x14ac:dyDescent="0.3">
      <c r="A443" s="17" t="s">
        <v>4</v>
      </c>
      <c r="B443" s="10" t="s">
        <v>24</v>
      </c>
      <c r="C443" s="11" t="s">
        <v>14</v>
      </c>
      <c r="D443" s="10" t="s">
        <v>20</v>
      </c>
      <c r="E443" s="12">
        <v>44343</v>
      </c>
      <c r="F443" s="31">
        <v>79.989999999999995</v>
      </c>
      <c r="G443" s="13">
        <v>2</v>
      </c>
      <c r="H443" s="31">
        <f t="shared" si="6"/>
        <v>159.97999999999999</v>
      </c>
    </row>
    <row r="444" spans="1:8" x14ac:dyDescent="0.3">
      <c r="A444" s="9" t="s">
        <v>7</v>
      </c>
      <c r="B444" s="10" t="s">
        <v>23</v>
      </c>
      <c r="C444" s="11" t="s">
        <v>17</v>
      </c>
      <c r="D444" s="10" t="s">
        <v>21</v>
      </c>
      <c r="E444" s="12">
        <v>44493</v>
      </c>
      <c r="F444" s="31">
        <v>340.95</v>
      </c>
      <c r="G444" s="13">
        <v>6</v>
      </c>
      <c r="H444" s="31">
        <f t="shared" si="6"/>
        <v>2045.6999999999998</v>
      </c>
    </row>
    <row r="445" spans="1:8" x14ac:dyDescent="0.3">
      <c r="A445" s="17" t="s">
        <v>8</v>
      </c>
      <c r="B445" s="10" t="s">
        <v>26</v>
      </c>
      <c r="C445" s="11" t="s">
        <v>17</v>
      </c>
      <c r="D445" s="10" t="s">
        <v>22</v>
      </c>
      <c r="E445" s="12">
        <v>44560</v>
      </c>
      <c r="F445" s="31">
        <v>168.95</v>
      </c>
      <c r="G445" s="13">
        <v>8</v>
      </c>
      <c r="H445" s="31">
        <f t="shared" si="6"/>
        <v>1351.6</v>
      </c>
    </row>
    <row r="446" spans="1:8" x14ac:dyDescent="0.3">
      <c r="A446" s="17" t="s">
        <v>4</v>
      </c>
      <c r="B446" s="10" t="s">
        <v>27</v>
      </c>
      <c r="C446" s="11" t="s">
        <v>14</v>
      </c>
      <c r="D446" s="10" t="s">
        <v>18</v>
      </c>
      <c r="E446" s="12">
        <v>44288</v>
      </c>
      <c r="F446" s="31">
        <v>799.95</v>
      </c>
      <c r="G446" s="13">
        <v>12</v>
      </c>
      <c r="H446" s="31">
        <f t="shared" si="6"/>
        <v>9599.4000000000015</v>
      </c>
    </row>
    <row r="447" spans="1:8" x14ac:dyDescent="0.3">
      <c r="A447" s="17" t="s">
        <v>11</v>
      </c>
      <c r="B447" s="10" t="s">
        <v>23</v>
      </c>
      <c r="C447" s="11" t="s">
        <v>14</v>
      </c>
      <c r="D447" s="10" t="s">
        <v>21</v>
      </c>
      <c r="E447" s="12">
        <v>43937</v>
      </c>
      <c r="F447" s="31">
        <v>340.95</v>
      </c>
      <c r="G447" s="13">
        <v>6</v>
      </c>
      <c r="H447" s="31">
        <f t="shared" si="6"/>
        <v>2045.6999999999998</v>
      </c>
    </row>
    <row r="448" spans="1:8" x14ac:dyDescent="0.3">
      <c r="A448" s="17" t="s">
        <v>11</v>
      </c>
      <c r="B448" s="10" t="s">
        <v>23</v>
      </c>
      <c r="C448" s="11" t="s">
        <v>14</v>
      </c>
      <c r="D448" s="10" t="s">
        <v>20</v>
      </c>
      <c r="E448" s="12">
        <v>43930</v>
      </c>
      <c r="F448" s="31">
        <v>340.95</v>
      </c>
      <c r="G448" s="13">
        <v>2</v>
      </c>
      <c r="H448" s="31">
        <f t="shared" si="6"/>
        <v>681.9</v>
      </c>
    </row>
    <row r="449" spans="1:8" x14ac:dyDescent="0.3">
      <c r="A449" s="9" t="s">
        <v>2</v>
      </c>
      <c r="B449" s="10" t="s">
        <v>23</v>
      </c>
      <c r="C449" s="11" t="s">
        <v>14</v>
      </c>
      <c r="D449" s="10" t="s">
        <v>21</v>
      </c>
      <c r="E449" s="12">
        <v>44062</v>
      </c>
      <c r="F449" s="31">
        <v>340.95</v>
      </c>
      <c r="G449" s="13">
        <v>3</v>
      </c>
      <c r="H449" s="31">
        <f t="shared" si="6"/>
        <v>1022.8499999999999</v>
      </c>
    </row>
    <row r="450" spans="1:8" x14ac:dyDescent="0.3">
      <c r="A450" s="17" t="s">
        <v>12</v>
      </c>
      <c r="B450" s="10" t="s">
        <v>23</v>
      </c>
      <c r="C450" s="11" t="s">
        <v>15</v>
      </c>
      <c r="D450" s="10" t="s">
        <v>21</v>
      </c>
      <c r="E450" s="12">
        <v>44041</v>
      </c>
      <c r="F450" s="31">
        <v>340.95</v>
      </c>
      <c r="G450" s="13">
        <v>3</v>
      </c>
      <c r="H450" s="31">
        <f t="shared" ref="H450:H513" si="7">F450*G450</f>
        <v>1022.8499999999999</v>
      </c>
    </row>
    <row r="451" spans="1:8" x14ac:dyDescent="0.3">
      <c r="A451" s="17" t="s">
        <v>8</v>
      </c>
      <c r="B451" s="10" t="s">
        <v>24</v>
      </c>
      <c r="C451" s="11" t="s">
        <v>17</v>
      </c>
      <c r="D451" s="10" t="s">
        <v>20</v>
      </c>
      <c r="E451" s="12">
        <v>44435</v>
      </c>
      <c r="F451" s="31">
        <v>79.989999999999995</v>
      </c>
      <c r="G451" s="13">
        <v>15</v>
      </c>
      <c r="H451" s="31">
        <f t="shared" si="7"/>
        <v>1199.8499999999999</v>
      </c>
    </row>
    <row r="452" spans="1:8" x14ac:dyDescent="0.3">
      <c r="A452" s="17" t="s">
        <v>4</v>
      </c>
      <c r="B452" s="10" t="s">
        <v>23</v>
      </c>
      <c r="C452" s="11" t="s">
        <v>14</v>
      </c>
      <c r="D452" s="10" t="s">
        <v>22</v>
      </c>
      <c r="E452" s="12">
        <v>43854</v>
      </c>
      <c r="F452" s="31">
        <v>340.95</v>
      </c>
      <c r="G452" s="13">
        <v>8</v>
      </c>
      <c r="H452" s="31">
        <f t="shared" si="7"/>
        <v>2727.6</v>
      </c>
    </row>
    <row r="453" spans="1:8" x14ac:dyDescent="0.3">
      <c r="A453" s="17" t="s">
        <v>12</v>
      </c>
      <c r="B453" s="10" t="s">
        <v>23</v>
      </c>
      <c r="C453" s="11" t="s">
        <v>15</v>
      </c>
      <c r="D453" s="10" t="s">
        <v>19</v>
      </c>
      <c r="E453" s="12">
        <v>44008</v>
      </c>
      <c r="F453" s="31">
        <v>340.95</v>
      </c>
      <c r="G453" s="13">
        <v>6</v>
      </c>
      <c r="H453" s="31">
        <f t="shared" si="7"/>
        <v>2045.6999999999998</v>
      </c>
    </row>
    <row r="454" spans="1:8" x14ac:dyDescent="0.3">
      <c r="A454" s="17" t="s">
        <v>4</v>
      </c>
      <c r="B454" s="10" t="s">
        <v>25</v>
      </c>
      <c r="C454" s="11" t="s">
        <v>14</v>
      </c>
      <c r="D454" s="10" t="s">
        <v>18</v>
      </c>
      <c r="E454" s="12">
        <v>43883</v>
      </c>
      <c r="F454" s="31">
        <v>340.95</v>
      </c>
      <c r="G454" s="13">
        <v>18</v>
      </c>
      <c r="H454" s="31">
        <f t="shared" si="7"/>
        <v>6137.0999999999995</v>
      </c>
    </row>
    <row r="455" spans="1:8" x14ac:dyDescent="0.3">
      <c r="A455" s="17" t="s">
        <v>8</v>
      </c>
      <c r="B455" s="10" t="s">
        <v>24</v>
      </c>
      <c r="C455" s="11" t="s">
        <v>17</v>
      </c>
      <c r="D455" s="10" t="s">
        <v>20</v>
      </c>
      <c r="E455" s="12">
        <v>44203</v>
      </c>
      <c r="F455" s="31">
        <v>79.989999999999995</v>
      </c>
      <c r="G455" s="13">
        <v>1</v>
      </c>
      <c r="H455" s="31">
        <f t="shared" si="7"/>
        <v>79.989999999999995</v>
      </c>
    </row>
    <row r="456" spans="1:8" x14ac:dyDescent="0.3">
      <c r="A456" s="17" t="s">
        <v>6</v>
      </c>
      <c r="B456" s="10" t="s">
        <v>27</v>
      </c>
      <c r="C456" s="11" t="s">
        <v>14</v>
      </c>
      <c r="D456" s="10" t="s">
        <v>18</v>
      </c>
      <c r="E456" s="12">
        <v>44169</v>
      </c>
      <c r="F456" s="31">
        <v>799.95</v>
      </c>
      <c r="G456" s="13">
        <v>12</v>
      </c>
      <c r="H456" s="31">
        <f t="shared" si="7"/>
        <v>9599.4000000000015</v>
      </c>
    </row>
    <row r="457" spans="1:8" x14ac:dyDescent="0.3">
      <c r="A457" s="17" t="s">
        <v>11</v>
      </c>
      <c r="B457" s="10" t="s">
        <v>26</v>
      </c>
      <c r="C457" s="11" t="s">
        <v>14</v>
      </c>
      <c r="D457" s="10" t="s">
        <v>18</v>
      </c>
      <c r="E457" s="12">
        <v>43992</v>
      </c>
      <c r="F457" s="31">
        <v>168.95</v>
      </c>
      <c r="G457" s="13">
        <v>18</v>
      </c>
      <c r="H457" s="31">
        <f t="shared" si="7"/>
        <v>3041.1</v>
      </c>
    </row>
    <row r="458" spans="1:8" x14ac:dyDescent="0.3">
      <c r="A458" s="9" t="s">
        <v>13</v>
      </c>
      <c r="B458" s="10" t="s">
        <v>23</v>
      </c>
      <c r="C458" s="11" t="s">
        <v>16</v>
      </c>
      <c r="D458" s="10" t="s">
        <v>21</v>
      </c>
      <c r="E458" s="12">
        <v>44468</v>
      </c>
      <c r="F458" s="31">
        <v>340.95</v>
      </c>
      <c r="G458" s="13">
        <v>13</v>
      </c>
      <c r="H458" s="31">
        <f t="shared" si="7"/>
        <v>4432.3499999999995</v>
      </c>
    </row>
    <row r="459" spans="1:8" x14ac:dyDescent="0.3">
      <c r="A459" s="9" t="s">
        <v>13</v>
      </c>
      <c r="B459" s="10" t="s">
        <v>26</v>
      </c>
      <c r="C459" s="11" t="s">
        <v>16</v>
      </c>
      <c r="D459" s="10" t="s">
        <v>19</v>
      </c>
      <c r="E459" s="12">
        <v>44133</v>
      </c>
      <c r="F459" s="31">
        <v>168.95</v>
      </c>
      <c r="G459" s="13">
        <v>12</v>
      </c>
      <c r="H459" s="31">
        <f t="shared" si="7"/>
        <v>2027.3999999999999</v>
      </c>
    </row>
    <row r="460" spans="1:8" x14ac:dyDescent="0.3">
      <c r="A460" s="17" t="s">
        <v>6</v>
      </c>
      <c r="B460" s="10" t="s">
        <v>25</v>
      </c>
      <c r="C460" s="11" t="s">
        <v>14</v>
      </c>
      <c r="D460" s="10" t="s">
        <v>18</v>
      </c>
      <c r="E460" s="12">
        <v>43847</v>
      </c>
      <c r="F460" s="31">
        <v>340.95</v>
      </c>
      <c r="G460" s="13">
        <v>14</v>
      </c>
      <c r="H460" s="31">
        <f t="shared" si="7"/>
        <v>4773.3</v>
      </c>
    </row>
    <row r="461" spans="1:8" x14ac:dyDescent="0.3">
      <c r="A461" s="9" t="s">
        <v>3</v>
      </c>
      <c r="B461" s="10" t="s">
        <v>27</v>
      </c>
      <c r="C461" s="11" t="s">
        <v>15</v>
      </c>
      <c r="D461" s="10" t="s">
        <v>21</v>
      </c>
      <c r="E461" s="12">
        <v>44506</v>
      </c>
      <c r="F461" s="31">
        <v>799.95</v>
      </c>
      <c r="G461" s="13">
        <v>2</v>
      </c>
      <c r="H461" s="31">
        <f t="shared" si="7"/>
        <v>1599.9</v>
      </c>
    </row>
    <row r="462" spans="1:8" x14ac:dyDescent="0.3">
      <c r="A462" s="17" t="s">
        <v>8</v>
      </c>
      <c r="B462" s="10" t="s">
        <v>27</v>
      </c>
      <c r="C462" s="11" t="s">
        <v>17</v>
      </c>
      <c r="D462" s="10" t="s">
        <v>21</v>
      </c>
      <c r="E462" s="12">
        <v>44315</v>
      </c>
      <c r="F462" s="31">
        <v>799.95</v>
      </c>
      <c r="G462" s="13">
        <v>8</v>
      </c>
      <c r="H462" s="31">
        <f t="shared" si="7"/>
        <v>6399.6</v>
      </c>
    </row>
    <row r="463" spans="1:8" x14ac:dyDescent="0.3">
      <c r="A463" s="17" t="s">
        <v>10</v>
      </c>
      <c r="B463" s="10" t="s">
        <v>25</v>
      </c>
      <c r="C463" s="11" t="s">
        <v>16</v>
      </c>
      <c r="D463" s="10" t="s">
        <v>21</v>
      </c>
      <c r="E463" s="12">
        <v>44000</v>
      </c>
      <c r="F463" s="31">
        <v>340.95</v>
      </c>
      <c r="G463" s="13">
        <v>10</v>
      </c>
      <c r="H463" s="31">
        <f t="shared" si="7"/>
        <v>3409.5</v>
      </c>
    </row>
    <row r="464" spans="1:8" x14ac:dyDescent="0.3">
      <c r="A464" s="9" t="s">
        <v>2</v>
      </c>
      <c r="B464" s="10" t="s">
        <v>27</v>
      </c>
      <c r="C464" s="11" t="s">
        <v>14</v>
      </c>
      <c r="D464" s="10" t="s">
        <v>18</v>
      </c>
      <c r="E464" s="12">
        <v>43947</v>
      </c>
      <c r="F464" s="31">
        <v>799.95</v>
      </c>
      <c r="G464" s="13">
        <v>16</v>
      </c>
      <c r="H464" s="31">
        <f t="shared" si="7"/>
        <v>12799.2</v>
      </c>
    </row>
    <row r="465" spans="1:8" x14ac:dyDescent="0.3">
      <c r="A465" s="17" t="s">
        <v>11</v>
      </c>
      <c r="B465" s="10" t="s">
        <v>27</v>
      </c>
      <c r="C465" s="11" t="s">
        <v>14</v>
      </c>
      <c r="D465" s="10" t="s">
        <v>20</v>
      </c>
      <c r="E465" s="12">
        <v>44280</v>
      </c>
      <c r="F465" s="31">
        <v>799.95</v>
      </c>
      <c r="G465" s="13">
        <v>10</v>
      </c>
      <c r="H465" s="31">
        <f t="shared" si="7"/>
        <v>7999.5</v>
      </c>
    </row>
    <row r="466" spans="1:8" x14ac:dyDescent="0.3">
      <c r="A466" s="17" t="s">
        <v>4</v>
      </c>
      <c r="B466" s="10" t="s">
        <v>25</v>
      </c>
      <c r="C466" s="11" t="s">
        <v>14</v>
      </c>
      <c r="D466" s="10" t="s">
        <v>22</v>
      </c>
      <c r="E466" s="12">
        <v>43870</v>
      </c>
      <c r="F466" s="31">
        <v>340.95</v>
      </c>
      <c r="G466" s="13">
        <v>1</v>
      </c>
      <c r="H466" s="31">
        <f t="shared" si="7"/>
        <v>340.95</v>
      </c>
    </row>
    <row r="467" spans="1:8" x14ac:dyDescent="0.3">
      <c r="A467" s="17" t="s">
        <v>4</v>
      </c>
      <c r="B467" s="10" t="s">
        <v>24</v>
      </c>
      <c r="C467" s="11" t="s">
        <v>14</v>
      </c>
      <c r="D467" s="10" t="s">
        <v>19</v>
      </c>
      <c r="E467" s="12">
        <v>44056</v>
      </c>
      <c r="F467" s="31">
        <v>79.989999999999995</v>
      </c>
      <c r="G467" s="13">
        <v>3</v>
      </c>
      <c r="H467" s="31">
        <f t="shared" si="7"/>
        <v>239.96999999999997</v>
      </c>
    </row>
    <row r="468" spans="1:8" x14ac:dyDescent="0.3">
      <c r="A468" s="17" t="s">
        <v>4</v>
      </c>
      <c r="B468" s="10" t="s">
        <v>25</v>
      </c>
      <c r="C468" s="11" t="s">
        <v>14</v>
      </c>
      <c r="D468" s="10" t="s">
        <v>22</v>
      </c>
      <c r="E468" s="12">
        <v>44017</v>
      </c>
      <c r="F468" s="31">
        <v>340.95</v>
      </c>
      <c r="G468" s="13">
        <v>13</v>
      </c>
      <c r="H468" s="31">
        <f t="shared" si="7"/>
        <v>4432.3499999999995</v>
      </c>
    </row>
    <row r="469" spans="1:8" x14ac:dyDescent="0.3">
      <c r="A469" s="17" t="s">
        <v>6</v>
      </c>
      <c r="B469" s="10" t="s">
        <v>25</v>
      </c>
      <c r="C469" s="11" t="s">
        <v>14</v>
      </c>
      <c r="D469" s="10" t="s">
        <v>19</v>
      </c>
      <c r="E469" s="12">
        <v>44343</v>
      </c>
      <c r="F469" s="31">
        <v>340.95</v>
      </c>
      <c r="G469" s="13">
        <v>5</v>
      </c>
      <c r="H469" s="31">
        <f t="shared" si="7"/>
        <v>1704.75</v>
      </c>
    </row>
    <row r="470" spans="1:8" x14ac:dyDescent="0.3">
      <c r="A470" s="9" t="s">
        <v>2</v>
      </c>
      <c r="B470" s="10" t="s">
        <v>24</v>
      </c>
      <c r="C470" s="11" t="s">
        <v>14</v>
      </c>
      <c r="D470" s="10" t="s">
        <v>21</v>
      </c>
      <c r="E470" s="12">
        <v>44277</v>
      </c>
      <c r="F470" s="31">
        <v>79.989999999999995</v>
      </c>
      <c r="G470" s="13">
        <v>1</v>
      </c>
      <c r="H470" s="31">
        <f t="shared" si="7"/>
        <v>79.989999999999995</v>
      </c>
    </row>
    <row r="471" spans="1:8" x14ac:dyDescent="0.3">
      <c r="A471" s="9" t="s">
        <v>3</v>
      </c>
      <c r="B471" s="10" t="s">
        <v>24</v>
      </c>
      <c r="C471" s="11" t="s">
        <v>15</v>
      </c>
      <c r="D471" s="10" t="s">
        <v>22</v>
      </c>
      <c r="E471" s="12">
        <v>44004</v>
      </c>
      <c r="F471" s="31">
        <v>79.989999999999995</v>
      </c>
      <c r="G471" s="13">
        <v>3</v>
      </c>
      <c r="H471" s="31">
        <f t="shared" si="7"/>
        <v>239.96999999999997</v>
      </c>
    </row>
    <row r="472" spans="1:8" x14ac:dyDescent="0.3">
      <c r="A472" s="9" t="s">
        <v>3</v>
      </c>
      <c r="B472" s="10" t="s">
        <v>23</v>
      </c>
      <c r="C472" s="11" t="s">
        <v>15</v>
      </c>
      <c r="D472" s="10" t="s">
        <v>21</v>
      </c>
      <c r="E472" s="12">
        <v>44448</v>
      </c>
      <c r="F472" s="31">
        <v>340.95</v>
      </c>
      <c r="G472" s="13">
        <v>14</v>
      </c>
      <c r="H472" s="31">
        <f t="shared" si="7"/>
        <v>4773.3</v>
      </c>
    </row>
    <row r="473" spans="1:8" x14ac:dyDescent="0.3">
      <c r="A473" s="17" t="s">
        <v>11</v>
      </c>
      <c r="B473" s="10" t="s">
        <v>26</v>
      </c>
      <c r="C473" s="11" t="s">
        <v>14</v>
      </c>
      <c r="D473" s="10" t="s">
        <v>21</v>
      </c>
      <c r="E473" s="12">
        <v>44322</v>
      </c>
      <c r="F473" s="31">
        <v>168.95</v>
      </c>
      <c r="G473" s="13">
        <v>7</v>
      </c>
      <c r="H473" s="31">
        <f t="shared" si="7"/>
        <v>1182.6499999999999</v>
      </c>
    </row>
    <row r="474" spans="1:8" x14ac:dyDescent="0.3">
      <c r="A474" s="17" t="s">
        <v>4</v>
      </c>
      <c r="B474" s="10" t="s">
        <v>25</v>
      </c>
      <c r="C474" s="11" t="s">
        <v>14</v>
      </c>
      <c r="D474" s="10" t="s">
        <v>18</v>
      </c>
      <c r="E474" s="12">
        <v>44231</v>
      </c>
      <c r="F474" s="31">
        <v>340.95</v>
      </c>
      <c r="G474" s="13">
        <v>13</v>
      </c>
      <c r="H474" s="31">
        <f t="shared" si="7"/>
        <v>4432.3499999999995</v>
      </c>
    </row>
    <row r="475" spans="1:8" x14ac:dyDescent="0.3">
      <c r="A475" s="9" t="s">
        <v>2</v>
      </c>
      <c r="B475" s="10" t="s">
        <v>23</v>
      </c>
      <c r="C475" s="11" t="s">
        <v>14</v>
      </c>
      <c r="D475" s="10" t="s">
        <v>20</v>
      </c>
      <c r="E475" s="12">
        <v>44462</v>
      </c>
      <c r="F475" s="31">
        <v>340.95</v>
      </c>
      <c r="G475" s="13">
        <v>6</v>
      </c>
      <c r="H475" s="31">
        <f t="shared" si="7"/>
        <v>2045.6999999999998</v>
      </c>
    </row>
    <row r="476" spans="1:8" x14ac:dyDescent="0.3">
      <c r="A476" s="9" t="s">
        <v>13</v>
      </c>
      <c r="B476" s="10" t="s">
        <v>24</v>
      </c>
      <c r="C476" s="11" t="s">
        <v>16</v>
      </c>
      <c r="D476" s="10" t="s">
        <v>21</v>
      </c>
      <c r="E476" s="12">
        <v>43961</v>
      </c>
      <c r="F476" s="31">
        <v>79.989999999999995</v>
      </c>
      <c r="G476" s="13">
        <v>5</v>
      </c>
      <c r="H476" s="31">
        <f t="shared" si="7"/>
        <v>399.95</v>
      </c>
    </row>
    <row r="477" spans="1:8" x14ac:dyDescent="0.3">
      <c r="A477" s="9" t="s">
        <v>3</v>
      </c>
      <c r="B477" s="10" t="s">
        <v>23</v>
      </c>
      <c r="C477" s="11" t="s">
        <v>15</v>
      </c>
      <c r="D477" s="10" t="s">
        <v>21</v>
      </c>
      <c r="E477" s="12">
        <v>44356</v>
      </c>
      <c r="F477" s="31">
        <v>340.95</v>
      </c>
      <c r="G477" s="13">
        <v>7</v>
      </c>
      <c r="H477" s="31">
        <f t="shared" si="7"/>
        <v>2386.65</v>
      </c>
    </row>
    <row r="478" spans="1:8" x14ac:dyDescent="0.3">
      <c r="A478" s="17" t="s">
        <v>11</v>
      </c>
      <c r="B478" s="10" t="s">
        <v>26</v>
      </c>
      <c r="C478" s="11" t="s">
        <v>14</v>
      </c>
      <c r="D478" s="10" t="s">
        <v>20</v>
      </c>
      <c r="E478" s="12">
        <v>44462</v>
      </c>
      <c r="F478" s="31">
        <v>168.95</v>
      </c>
      <c r="G478" s="13">
        <v>6</v>
      </c>
      <c r="H478" s="31">
        <f t="shared" si="7"/>
        <v>1013.6999999999999</v>
      </c>
    </row>
    <row r="479" spans="1:8" x14ac:dyDescent="0.3">
      <c r="A479" s="9" t="s">
        <v>7</v>
      </c>
      <c r="B479" s="10" t="s">
        <v>23</v>
      </c>
      <c r="C479" s="11" t="s">
        <v>17</v>
      </c>
      <c r="D479" s="10" t="s">
        <v>18</v>
      </c>
      <c r="E479" s="12">
        <v>44535</v>
      </c>
      <c r="F479" s="31">
        <v>340.95</v>
      </c>
      <c r="G479" s="13">
        <v>13</v>
      </c>
      <c r="H479" s="31">
        <f t="shared" si="7"/>
        <v>4432.3499999999995</v>
      </c>
    </row>
    <row r="480" spans="1:8" x14ac:dyDescent="0.3">
      <c r="A480" s="9" t="s">
        <v>5</v>
      </c>
      <c r="B480" s="10" t="s">
        <v>25</v>
      </c>
      <c r="C480" s="11" t="s">
        <v>16</v>
      </c>
      <c r="D480" s="10" t="s">
        <v>20</v>
      </c>
      <c r="E480" s="12">
        <v>43934</v>
      </c>
      <c r="F480" s="31">
        <v>340.95</v>
      </c>
      <c r="G480" s="13">
        <v>8</v>
      </c>
      <c r="H480" s="31">
        <f t="shared" si="7"/>
        <v>2727.6</v>
      </c>
    </row>
    <row r="481" spans="1:8" x14ac:dyDescent="0.3">
      <c r="A481" s="9" t="s">
        <v>7</v>
      </c>
      <c r="B481" s="10" t="s">
        <v>27</v>
      </c>
      <c r="C481" s="11" t="s">
        <v>17</v>
      </c>
      <c r="D481" s="10" t="s">
        <v>18</v>
      </c>
      <c r="E481" s="12">
        <v>44181</v>
      </c>
      <c r="F481" s="31">
        <v>799.95</v>
      </c>
      <c r="G481" s="13">
        <v>13</v>
      </c>
      <c r="H481" s="31">
        <f t="shared" si="7"/>
        <v>10399.35</v>
      </c>
    </row>
    <row r="482" spans="1:8" x14ac:dyDescent="0.3">
      <c r="A482" s="17" t="s">
        <v>11</v>
      </c>
      <c r="B482" s="10" t="s">
        <v>27</v>
      </c>
      <c r="C482" s="11" t="s">
        <v>14</v>
      </c>
      <c r="D482" s="10" t="s">
        <v>20</v>
      </c>
      <c r="E482" s="12">
        <v>43959</v>
      </c>
      <c r="F482" s="31">
        <v>799.95</v>
      </c>
      <c r="G482" s="13">
        <v>6</v>
      </c>
      <c r="H482" s="31">
        <f t="shared" si="7"/>
        <v>4799.7000000000007</v>
      </c>
    </row>
    <row r="483" spans="1:8" x14ac:dyDescent="0.3">
      <c r="A483" s="9" t="s">
        <v>9</v>
      </c>
      <c r="B483" s="10" t="s">
        <v>23</v>
      </c>
      <c r="C483" s="11" t="s">
        <v>15</v>
      </c>
      <c r="D483" s="10" t="s">
        <v>18</v>
      </c>
      <c r="E483" s="12">
        <v>44158</v>
      </c>
      <c r="F483" s="31">
        <v>340.95</v>
      </c>
      <c r="G483" s="13">
        <v>19</v>
      </c>
      <c r="H483" s="31">
        <f t="shared" si="7"/>
        <v>6478.05</v>
      </c>
    </row>
    <row r="484" spans="1:8" x14ac:dyDescent="0.3">
      <c r="A484" s="9" t="s">
        <v>7</v>
      </c>
      <c r="B484" s="10" t="s">
        <v>23</v>
      </c>
      <c r="C484" s="11" t="s">
        <v>17</v>
      </c>
      <c r="D484" s="10" t="s">
        <v>19</v>
      </c>
      <c r="E484" s="12">
        <v>44069</v>
      </c>
      <c r="F484" s="31">
        <v>340.95</v>
      </c>
      <c r="G484" s="13">
        <v>8</v>
      </c>
      <c r="H484" s="31">
        <f t="shared" si="7"/>
        <v>2727.6</v>
      </c>
    </row>
    <row r="485" spans="1:8" x14ac:dyDescent="0.3">
      <c r="A485" s="17" t="s">
        <v>12</v>
      </c>
      <c r="B485" s="10" t="s">
        <v>26</v>
      </c>
      <c r="C485" s="11" t="s">
        <v>15</v>
      </c>
      <c r="D485" s="10" t="s">
        <v>19</v>
      </c>
      <c r="E485" s="12">
        <v>44350</v>
      </c>
      <c r="F485" s="31">
        <v>168.95</v>
      </c>
      <c r="G485" s="13">
        <v>4</v>
      </c>
      <c r="H485" s="31">
        <f t="shared" si="7"/>
        <v>675.8</v>
      </c>
    </row>
    <row r="486" spans="1:8" x14ac:dyDescent="0.3">
      <c r="A486" s="17" t="s">
        <v>12</v>
      </c>
      <c r="B486" s="10" t="s">
        <v>24</v>
      </c>
      <c r="C486" s="11" t="s">
        <v>15</v>
      </c>
      <c r="D486" s="10" t="s">
        <v>19</v>
      </c>
      <c r="E486" s="12">
        <v>44329</v>
      </c>
      <c r="F486" s="31">
        <v>79.989999999999995</v>
      </c>
      <c r="G486" s="13">
        <v>15</v>
      </c>
      <c r="H486" s="31">
        <f t="shared" si="7"/>
        <v>1199.8499999999999</v>
      </c>
    </row>
    <row r="487" spans="1:8" x14ac:dyDescent="0.3">
      <c r="A487" s="9" t="s">
        <v>5</v>
      </c>
      <c r="B487" s="10" t="s">
        <v>26</v>
      </c>
      <c r="C487" s="11" t="s">
        <v>15</v>
      </c>
      <c r="D487" s="10" t="s">
        <v>21</v>
      </c>
      <c r="E487" s="12">
        <v>44213</v>
      </c>
      <c r="F487" s="31">
        <v>168.95</v>
      </c>
      <c r="G487" s="13">
        <v>15</v>
      </c>
      <c r="H487" s="31">
        <f t="shared" si="7"/>
        <v>2534.25</v>
      </c>
    </row>
    <row r="488" spans="1:8" x14ac:dyDescent="0.3">
      <c r="A488" s="9" t="s">
        <v>3</v>
      </c>
      <c r="B488" s="10" t="s">
        <v>27</v>
      </c>
      <c r="C488" s="11" t="s">
        <v>15</v>
      </c>
      <c r="D488" s="10" t="s">
        <v>21</v>
      </c>
      <c r="E488" s="12">
        <v>44217</v>
      </c>
      <c r="F488" s="31">
        <v>799.95</v>
      </c>
      <c r="G488" s="13">
        <v>3</v>
      </c>
      <c r="H488" s="31">
        <f t="shared" si="7"/>
        <v>2399.8500000000004</v>
      </c>
    </row>
    <row r="489" spans="1:8" x14ac:dyDescent="0.3">
      <c r="A489" s="9" t="s">
        <v>13</v>
      </c>
      <c r="B489" s="10" t="s">
        <v>25</v>
      </c>
      <c r="C489" s="11" t="s">
        <v>16</v>
      </c>
      <c r="D489" s="10" t="s">
        <v>22</v>
      </c>
      <c r="E489" s="12">
        <v>44304</v>
      </c>
      <c r="F489" s="31">
        <v>340.95</v>
      </c>
      <c r="G489" s="13">
        <v>12</v>
      </c>
      <c r="H489" s="31">
        <f t="shared" si="7"/>
        <v>4091.3999999999996</v>
      </c>
    </row>
    <row r="490" spans="1:8" x14ac:dyDescent="0.3">
      <c r="A490" s="17" t="s">
        <v>12</v>
      </c>
      <c r="B490" s="10" t="s">
        <v>25</v>
      </c>
      <c r="C490" s="11" t="s">
        <v>15</v>
      </c>
      <c r="D490" s="10" t="s">
        <v>21</v>
      </c>
      <c r="E490" s="12">
        <v>44126</v>
      </c>
      <c r="F490" s="31">
        <v>340.95</v>
      </c>
      <c r="G490" s="13">
        <v>6</v>
      </c>
      <c r="H490" s="31">
        <f t="shared" si="7"/>
        <v>2045.6999999999998</v>
      </c>
    </row>
    <row r="491" spans="1:8" x14ac:dyDescent="0.3">
      <c r="A491" s="17" t="s">
        <v>12</v>
      </c>
      <c r="B491" s="10" t="s">
        <v>26</v>
      </c>
      <c r="C491" s="11" t="s">
        <v>15</v>
      </c>
      <c r="D491" s="10" t="s">
        <v>22</v>
      </c>
      <c r="E491" s="12">
        <v>44175</v>
      </c>
      <c r="F491" s="31">
        <v>168.95</v>
      </c>
      <c r="G491" s="13">
        <v>15</v>
      </c>
      <c r="H491" s="31">
        <f t="shared" si="7"/>
        <v>2534.25</v>
      </c>
    </row>
    <row r="492" spans="1:8" x14ac:dyDescent="0.3">
      <c r="A492" s="9" t="s">
        <v>9</v>
      </c>
      <c r="B492" s="10" t="s">
        <v>26</v>
      </c>
      <c r="C492" s="11" t="s">
        <v>15</v>
      </c>
      <c r="D492" s="10" t="s">
        <v>22</v>
      </c>
      <c r="E492" s="12">
        <v>43979</v>
      </c>
      <c r="F492" s="31">
        <v>168.95</v>
      </c>
      <c r="G492" s="13">
        <v>9</v>
      </c>
      <c r="H492" s="31">
        <f t="shared" si="7"/>
        <v>1520.55</v>
      </c>
    </row>
    <row r="493" spans="1:8" x14ac:dyDescent="0.3">
      <c r="A493" s="17" t="s">
        <v>12</v>
      </c>
      <c r="B493" s="10" t="s">
        <v>25</v>
      </c>
      <c r="C493" s="11" t="s">
        <v>15</v>
      </c>
      <c r="D493" s="10" t="s">
        <v>18</v>
      </c>
      <c r="E493" s="12">
        <v>43979</v>
      </c>
      <c r="F493" s="31">
        <v>340.95</v>
      </c>
      <c r="G493" s="13">
        <v>14</v>
      </c>
      <c r="H493" s="31">
        <f t="shared" si="7"/>
        <v>4773.3</v>
      </c>
    </row>
    <row r="494" spans="1:8" x14ac:dyDescent="0.3">
      <c r="A494" s="9" t="s">
        <v>7</v>
      </c>
      <c r="B494" s="10" t="s">
        <v>25</v>
      </c>
      <c r="C494" s="11" t="s">
        <v>17</v>
      </c>
      <c r="D494" s="10" t="s">
        <v>22</v>
      </c>
      <c r="E494" s="12">
        <v>44493</v>
      </c>
      <c r="F494" s="31">
        <v>340.95</v>
      </c>
      <c r="G494" s="13">
        <v>1</v>
      </c>
      <c r="H494" s="31">
        <f t="shared" si="7"/>
        <v>340.95</v>
      </c>
    </row>
    <row r="495" spans="1:8" x14ac:dyDescent="0.3">
      <c r="A495" s="17" t="s">
        <v>10</v>
      </c>
      <c r="B495" s="10" t="s">
        <v>25</v>
      </c>
      <c r="C495" s="11" t="s">
        <v>16</v>
      </c>
      <c r="D495" s="10" t="s">
        <v>18</v>
      </c>
      <c r="E495" s="12">
        <v>44387</v>
      </c>
      <c r="F495" s="31">
        <v>340.95</v>
      </c>
      <c r="G495" s="13">
        <v>9</v>
      </c>
      <c r="H495" s="31">
        <f t="shared" si="7"/>
        <v>3068.5499999999997</v>
      </c>
    </row>
    <row r="496" spans="1:8" x14ac:dyDescent="0.3">
      <c r="A496" s="17" t="s">
        <v>12</v>
      </c>
      <c r="B496" s="10" t="s">
        <v>23</v>
      </c>
      <c r="C496" s="11" t="s">
        <v>15</v>
      </c>
      <c r="D496" s="10" t="s">
        <v>21</v>
      </c>
      <c r="E496" s="12">
        <v>44203</v>
      </c>
      <c r="F496" s="31">
        <v>340.95</v>
      </c>
      <c r="G496" s="13">
        <v>2</v>
      </c>
      <c r="H496" s="31">
        <f t="shared" si="7"/>
        <v>681.9</v>
      </c>
    </row>
    <row r="497" spans="1:8" x14ac:dyDescent="0.3">
      <c r="A497" s="17" t="s">
        <v>4</v>
      </c>
      <c r="B497" s="10" t="s">
        <v>27</v>
      </c>
      <c r="C497" s="11" t="s">
        <v>14</v>
      </c>
      <c r="D497" s="10" t="s">
        <v>21</v>
      </c>
      <c r="E497" s="12">
        <v>43840</v>
      </c>
      <c r="F497" s="31">
        <v>799.95</v>
      </c>
      <c r="G497" s="13">
        <v>13</v>
      </c>
      <c r="H497" s="31">
        <f t="shared" si="7"/>
        <v>10399.35</v>
      </c>
    </row>
    <row r="498" spans="1:8" x14ac:dyDescent="0.3">
      <c r="A498" s="17" t="s">
        <v>8</v>
      </c>
      <c r="B498" s="10" t="s">
        <v>24</v>
      </c>
      <c r="C498" s="11" t="s">
        <v>17</v>
      </c>
      <c r="D498" s="10" t="s">
        <v>19</v>
      </c>
      <c r="E498" s="12">
        <v>44190</v>
      </c>
      <c r="F498" s="31">
        <v>79.989999999999995</v>
      </c>
      <c r="G498" s="13">
        <v>1</v>
      </c>
      <c r="H498" s="31">
        <f t="shared" si="7"/>
        <v>79.989999999999995</v>
      </c>
    </row>
    <row r="499" spans="1:8" x14ac:dyDescent="0.3">
      <c r="A499" s="9" t="s">
        <v>3</v>
      </c>
      <c r="B499" s="10" t="s">
        <v>26</v>
      </c>
      <c r="C499" s="11" t="s">
        <v>15</v>
      </c>
      <c r="D499" s="10" t="s">
        <v>19</v>
      </c>
      <c r="E499" s="12">
        <v>44546</v>
      </c>
      <c r="F499" s="31">
        <v>168.95</v>
      </c>
      <c r="G499" s="13">
        <v>7</v>
      </c>
      <c r="H499" s="31">
        <f t="shared" si="7"/>
        <v>1182.6499999999999</v>
      </c>
    </row>
    <row r="500" spans="1:8" x14ac:dyDescent="0.3">
      <c r="A500" s="17" t="s">
        <v>8</v>
      </c>
      <c r="B500" s="10" t="s">
        <v>23</v>
      </c>
      <c r="C500" s="11" t="s">
        <v>17</v>
      </c>
      <c r="D500" s="10" t="s">
        <v>19</v>
      </c>
      <c r="E500" s="12">
        <v>44025</v>
      </c>
      <c r="F500" s="31">
        <v>340.95</v>
      </c>
      <c r="G500" s="13">
        <v>14</v>
      </c>
      <c r="H500" s="31">
        <f t="shared" si="7"/>
        <v>4773.3</v>
      </c>
    </row>
    <row r="501" spans="1:8" x14ac:dyDescent="0.3">
      <c r="A501" s="9" t="s">
        <v>9</v>
      </c>
      <c r="B501" s="10" t="s">
        <v>27</v>
      </c>
      <c r="C501" s="11" t="s">
        <v>15</v>
      </c>
      <c r="D501" s="10" t="s">
        <v>18</v>
      </c>
      <c r="E501" s="12">
        <v>44021</v>
      </c>
      <c r="F501" s="31">
        <v>799.95</v>
      </c>
      <c r="G501" s="13">
        <v>15</v>
      </c>
      <c r="H501" s="31">
        <f t="shared" si="7"/>
        <v>11999.25</v>
      </c>
    </row>
    <row r="502" spans="1:8" x14ac:dyDescent="0.3">
      <c r="A502" s="9" t="s">
        <v>3</v>
      </c>
      <c r="B502" s="10" t="s">
        <v>26</v>
      </c>
      <c r="C502" s="11" t="s">
        <v>15</v>
      </c>
      <c r="D502" s="10" t="s">
        <v>21</v>
      </c>
      <c r="E502" s="12">
        <v>44164</v>
      </c>
      <c r="F502" s="31">
        <v>168.95</v>
      </c>
      <c r="G502" s="13">
        <v>3</v>
      </c>
      <c r="H502" s="31">
        <f t="shared" si="7"/>
        <v>506.84999999999997</v>
      </c>
    </row>
    <row r="503" spans="1:8" x14ac:dyDescent="0.3">
      <c r="A503" s="17" t="s">
        <v>8</v>
      </c>
      <c r="B503" s="10" t="s">
        <v>24</v>
      </c>
      <c r="C503" s="11" t="s">
        <v>17</v>
      </c>
      <c r="D503" s="10" t="s">
        <v>22</v>
      </c>
      <c r="E503" s="12">
        <v>44098</v>
      </c>
      <c r="F503" s="31">
        <v>79.989999999999995</v>
      </c>
      <c r="G503" s="13">
        <v>12</v>
      </c>
      <c r="H503" s="31">
        <f t="shared" si="7"/>
        <v>959.87999999999988</v>
      </c>
    </row>
    <row r="504" spans="1:8" x14ac:dyDescent="0.3">
      <c r="A504" s="9" t="s">
        <v>7</v>
      </c>
      <c r="B504" s="10" t="s">
        <v>23</v>
      </c>
      <c r="C504" s="11" t="s">
        <v>17</v>
      </c>
      <c r="D504" s="10" t="s">
        <v>22</v>
      </c>
      <c r="E504" s="12">
        <v>44129</v>
      </c>
      <c r="F504" s="31">
        <v>340.95</v>
      </c>
      <c r="G504" s="13">
        <v>8</v>
      </c>
      <c r="H504" s="31">
        <f t="shared" si="7"/>
        <v>2727.6</v>
      </c>
    </row>
    <row r="505" spans="1:8" x14ac:dyDescent="0.3">
      <c r="A505" s="9" t="s">
        <v>9</v>
      </c>
      <c r="B505" s="10" t="s">
        <v>25</v>
      </c>
      <c r="C505" s="11" t="s">
        <v>15</v>
      </c>
      <c r="D505" s="10" t="s">
        <v>20</v>
      </c>
      <c r="E505" s="12">
        <v>43908</v>
      </c>
      <c r="F505" s="31">
        <v>340.95</v>
      </c>
      <c r="G505" s="13">
        <v>11</v>
      </c>
      <c r="H505" s="31">
        <f t="shared" si="7"/>
        <v>3750.45</v>
      </c>
    </row>
    <row r="506" spans="1:8" x14ac:dyDescent="0.3">
      <c r="A506" s="17" t="s">
        <v>4</v>
      </c>
      <c r="B506" s="10" t="s">
        <v>25</v>
      </c>
      <c r="C506" s="11" t="s">
        <v>14</v>
      </c>
      <c r="D506" s="10" t="s">
        <v>18</v>
      </c>
      <c r="E506" s="12">
        <v>44238</v>
      </c>
      <c r="F506" s="31">
        <v>340.95</v>
      </c>
      <c r="G506" s="13">
        <v>11</v>
      </c>
      <c r="H506" s="31">
        <f t="shared" si="7"/>
        <v>3750.45</v>
      </c>
    </row>
    <row r="507" spans="1:8" x14ac:dyDescent="0.3">
      <c r="A507" s="9" t="s">
        <v>2</v>
      </c>
      <c r="B507" s="10" t="s">
        <v>27</v>
      </c>
      <c r="C507" s="11" t="s">
        <v>14</v>
      </c>
      <c r="D507" s="10" t="s">
        <v>19</v>
      </c>
      <c r="E507" s="12">
        <v>43996</v>
      </c>
      <c r="F507" s="31">
        <v>799.95</v>
      </c>
      <c r="G507" s="13">
        <v>10</v>
      </c>
      <c r="H507" s="31">
        <f t="shared" si="7"/>
        <v>7999.5</v>
      </c>
    </row>
    <row r="508" spans="1:8" x14ac:dyDescent="0.3">
      <c r="A508" s="9" t="s">
        <v>7</v>
      </c>
      <c r="B508" s="10" t="s">
        <v>27</v>
      </c>
      <c r="C508" s="11" t="s">
        <v>17</v>
      </c>
      <c r="D508" s="10" t="s">
        <v>22</v>
      </c>
      <c r="E508" s="12">
        <v>43965</v>
      </c>
      <c r="F508" s="31">
        <v>799.95</v>
      </c>
      <c r="G508" s="13">
        <v>10</v>
      </c>
      <c r="H508" s="31">
        <f t="shared" si="7"/>
        <v>7999.5</v>
      </c>
    </row>
    <row r="509" spans="1:8" x14ac:dyDescent="0.3">
      <c r="A509" s="9" t="s">
        <v>13</v>
      </c>
      <c r="B509" s="10" t="s">
        <v>26</v>
      </c>
      <c r="C509" s="11" t="s">
        <v>16</v>
      </c>
      <c r="D509" s="10" t="s">
        <v>20</v>
      </c>
      <c r="E509" s="12">
        <v>44207</v>
      </c>
      <c r="F509" s="31">
        <v>168.95</v>
      </c>
      <c r="G509" s="13">
        <v>11</v>
      </c>
      <c r="H509" s="31">
        <f t="shared" si="7"/>
        <v>1858.4499999999998</v>
      </c>
    </row>
    <row r="510" spans="1:8" x14ac:dyDescent="0.3">
      <c r="A510" s="17" t="s">
        <v>4</v>
      </c>
      <c r="B510" s="10" t="s">
        <v>25</v>
      </c>
      <c r="C510" s="11" t="s">
        <v>14</v>
      </c>
      <c r="D510" s="10" t="s">
        <v>22</v>
      </c>
      <c r="E510" s="12">
        <v>44154</v>
      </c>
      <c r="F510" s="31">
        <v>340.95</v>
      </c>
      <c r="G510" s="13">
        <v>10</v>
      </c>
      <c r="H510" s="31">
        <f t="shared" si="7"/>
        <v>3409.5</v>
      </c>
    </row>
    <row r="511" spans="1:8" x14ac:dyDescent="0.3">
      <c r="A511" s="17" t="s">
        <v>11</v>
      </c>
      <c r="B511" s="10" t="s">
        <v>23</v>
      </c>
      <c r="C511" s="11" t="s">
        <v>14</v>
      </c>
      <c r="D511" s="10" t="s">
        <v>18</v>
      </c>
      <c r="E511" s="12">
        <v>44182</v>
      </c>
      <c r="F511" s="31">
        <v>340.95</v>
      </c>
      <c r="G511" s="13">
        <v>13</v>
      </c>
      <c r="H511" s="31">
        <f t="shared" si="7"/>
        <v>4432.3499999999995</v>
      </c>
    </row>
    <row r="512" spans="1:8" x14ac:dyDescent="0.3">
      <c r="A512" s="17" t="s">
        <v>6</v>
      </c>
      <c r="B512" s="10" t="s">
        <v>27</v>
      </c>
      <c r="C512" s="11" t="s">
        <v>14</v>
      </c>
      <c r="D512" s="10" t="s">
        <v>19</v>
      </c>
      <c r="E512" s="12">
        <v>44336</v>
      </c>
      <c r="F512" s="31">
        <v>799.95</v>
      </c>
      <c r="G512" s="13">
        <v>13</v>
      </c>
      <c r="H512" s="31">
        <f t="shared" si="7"/>
        <v>10399.35</v>
      </c>
    </row>
    <row r="513" spans="1:8" x14ac:dyDescent="0.3">
      <c r="A513" s="9" t="s">
        <v>9</v>
      </c>
      <c r="B513" s="10" t="s">
        <v>26</v>
      </c>
      <c r="C513" s="11" t="s">
        <v>15</v>
      </c>
      <c r="D513" s="10" t="s">
        <v>20</v>
      </c>
      <c r="E513" s="12">
        <v>44157</v>
      </c>
      <c r="F513" s="31">
        <v>168.95</v>
      </c>
      <c r="G513" s="13">
        <v>3</v>
      </c>
      <c r="H513" s="31">
        <f t="shared" si="7"/>
        <v>506.84999999999997</v>
      </c>
    </row>
    <row r="514" spans="1:8" x14ac:dyDescent="0.3">
      <c r="A514" s="17" t="s">
        <v>4</v>
      </c>
      <c r="B514" s="10" t="s">
        <v>25</v>
      </c>
      <c r="C514" s="11" t="s">
        <v>14</v>
      </c>
      <c r="D514" s="10" t="s">
        <v>18</v>
      </c>
      <c r="E514" s="12">
        <v>43972</v>
      </c>
      <c r="F514" s="31">
        <v>340.95</v>
      </c>
      <c r="G514" s="13">
        <v>18</v>
      </c>
      <c r="H514" s="31">
        <f t="shared" ref="H514:H577" si="8">F514*G514</f>
        <v>6137.0999999999995</v>
      </c>
    </row>
    <row r="515" spans="1:8" x14ac:dyDescent="0.3">
      <c r="A515" s="17" t="s">
        <v>11</v>
      </c>
      <c r="B515" s="10" t="s">
        <v>24</v>
      </c>
      <c r="C515" s="11" t="s">
        <v>14</v>
      </c>
      <c r="D515" s="10" t="s">
        <v>18</v>
      </c>
      <c r="E515" s="12">
        <v>44472</v>
      </c>
      <c r="F515" s="31">
        <v>79.989999999999995</v>
      </c>
      <c r="G515" s="13">
        <v>19</v>
      </c>
      <c r="H515" s="31">
        <f t="shared" si="8"/>
        <v>1519.81</v>
      </c>
    </row>
    <row r="516" spans="1:8" x14ac:dyDescent="0.3">
      <c r="A516" s="9" t="s">
        <v>7</v>
      </c>
      <c r="B516" s="10" t="s">
        <v>26</v>
      </c>
      <c r="C516" s="11" t="s">
        <v>17</v>
      </c>
      <c r="D516" s="10" t="s">
        <v>18</v>
      </c>
      <c r="E516" s="12">
        <v>44210</v>
      </c>
      <c r="F516" s="31">
        <v>168.95</v>
      </c>
      <c r="G516" s="13">
        <v>13</v>
      </c>
      <c r="H516" s="31">
        <f t="shared" si="8"/>
        <v>2196.35</v>
      </c>
    </row>
    <row r="517" spans="1:8" x14ac:dyDescent="0.3">
      <c r="A517" s="17" t="s">
        <v>10</v>
      </c>
      <c r="B517" s="10" t="s">
        <v>26</v>
      </c>
      <c r="C517" s="11" t="s">
        <v>16</v>
      </c>
      <c r="D517" s="10" t="s">
        <v>19</v>
      </c>
      <c r="E517" s="12">
        <v>44328</v>
      </c>
      <c r="F517" s="31">
        <v>168.95</v>
      </c>
      <c r="G517" s="13">
        <v>14</v>
      </c>
      <c r="H517" s="31">
        <f t="shared" si="8"/>
        <v>2365.2999999999997</v>
      </c>
    </row>
    <row r="518" spans="1:8" x14ac:dyDescent="0.3">
      <c r="A518" s="9" t="s">
        <v>2</v>
      </c>
      <c r="B518" s="10" t="s">
        <v>27</v>
      </c>
      <c r="C518" s="11" t="s">
        <v>14</v>
      </c>
      <c r="D518" s="10" t="s">
        <v>18</v>
      </c>
      <c r="E518" s="12">
        <v>44475</v>
      </c>
      <c r="F518" s="31">
        <v>799.95</v>
      </c>
      <c r="G518" s="13">
        <v>14</v>
      </c>
      <c r="H518" s="31">
        <f t="shared" si="8"/>
        <v>11199.300000000001</v>
      </c>
    </row>
    <row r="519" spans="1:8" x14ac:dyDescent="0.3">
      <c r="A519" s="9" t="s">
        <v>2</v>
      </c>
      <c r="B519" s="10" t="s">
        <v>25</v>
      </c>
      <c r="C519" s="11" t="s">
        <v>14</v>
      </c>
      <c r="D519" s="10" t="s">
        <v>18</v>
      </c>
      <c r="E519" s="12">
        <v>43867</v>
      </c>
      <c r="F519" s="31">
        <v>340.95</v>
      </c>
      <c r="G519" s="13">
        <v>11</v>
      </c>
      <c r="H519" s="31">
        <f t="shared" si="8"/>
        <v>3750.45</v>
      </c>
    </row>
    <row r="520" spans="1:8" x14ac:dyDescent="0.3">
      <c r="A520" s="9" t="s">
        <v>2</v>
      </c>
      <c r="B520" s="10" t="s">
        <v>24</v>
      </c>
      <c r="C520" s="11" t="s">
        <v>14</v>
      </c>
      <c r="D520" s="10" t="s">
        <v>18</v>
      </c>
      <c r="E520" s="12">
        <v>44030</v>
      </c>
      <c r="F520" s="31">
        <v>79.989999999999995</v>
      </c>
      <c r="G520" s="13">
        <v>8</v>
      </c>
      <c r="H520" s="31">
        <f t="shared" si="8"/>
        <v>639.91999999999996</v>
      </c>
    </row>
    <row r="521" spans="1:8" x14ac:dyDescent="0.3">
      <c r="A521" s="17" t="s">
        <v>6</v>
      </c>
      <c r="B521" s="10" t="s">
        <v>27</v>
      </c>
      <c r="C521" s="11" t="s">
        <v>14</v>
      </c>
      <c r="D521" s="10" t="s">
        <v>21</v>
      </c>
      <c r="E521" s="12">
        <v>44505</v>
      </c>
      <c r="F521" s="31">
        <v>799.95</v>
      </c>
      <c r="G521" s="13">
        <v>13</v>
      </c>
      <c r="H521" s="31">
        <f t="shared" si="8"/>
        <v>10399.35</v>
      </c>
    </row>
    <row r="522" spans="1:8" x14ac:dyDescent="0.3">
      <c r="A522" s="17" t="s">
        <v>11</v>
      </c>
      <c r="B522" s="10" t="s">
        <v>26</v>
      </c>
      <c r="C522" s="11" t="s">
        <v>14</v>
      </c>
      <c r="D522" s="10" t="s">
        <v>20</v>
      </c>
      <c r="E522" s="12">
        <v>44469</v>
      </c>
      <c r="F522" s="31">
        <v>168.95</v>
      </c>
      <c r="G522" s="13">
        <v>10</v>
      </c>
      <c r="H522" s="31">
        <f t="shared" si="8"/>
        <v>1689.5</v>
      </c>
    </row>
    <row r="523" spans="1:8" x14ac:dyDescent="0.3">
      <c r="A523" s="17" t="s">
        <v>11</v>
      </c>
      <c r="B523" s="10" t="s">
        <v>24</v>
      </c>
      <c r="C523" s="11" t="s">
        <v>14</v>
      </c>
      <c r="D523" s="10" t="s">
        <v>20</v>
      </c>
      <c r="E523" s="12">
        <v>44420</v>
      </c>
      <c r="F523" s="31">
        <v>79.989999999999995</v>
      </c>
      <c r="G523" s="13">
        <v>1</v>
      </c>
      <c r="H523" s="31">
        <f t="shared" si="8"/>
        <v>79.989999999999995</v>
      </c>
    </row>
    <row r="524" spans="1:8" x14ac:dyDescent="0.3">
      <c r="A524" s="17" t="s">
        <v>11</v>
      </c>
      <c r="B524" s="10" t="s">
        <v>24</v>
      </c>
      <c r="C524" s="11" t="s">
        <v>14</v>
      </c>
      <c r="D524" s="10" t="s">
        <v>18</v>
      </c>
      <c r="E524" s="12">
        <v>44206</v>
      </c>
      <c r="F524" s="31">
        <v>79.989999999999995</v>
      </c>
      <c r="G524" s="13">
        <v>16</v>
      </c>
      <c r="H524" s="31">
        <f t="shared" si="8"/>
        <v>1279.8399999999999</v>
      </c>
    </row>
    <row r="525" spans="1:8" x14ac:dyDescent="0.3">
      <c r="A525" s="17" t="s">
        <v>12</v>
      </c>
      <c r="B525" s="10" t="s">
        <v>27</v>
      </c>
      <c r="C525" s="11" t="s">
        <v>15</v>
      </c>
      <c r="D525" s="10" t="s">
        <v>18</v>
      </c>
      <c r="E525" s="12">
        <v>44007</v>
      </c>
      <c r="F525" s="31">
        <v>799.95</v>
      </c>
      <c r="G525" s="13">
        <v>19</v>
      </c>
      <c r="H525" s="31">
        <f t="shared" si="8"/>
        <v>15199.050000000001</v>
      </c>
    </row>
    <row r="526" spans="1:8" x14ac:dyDescent="0.3">
      <c r="A526" s="17" t="s">
        <v>12</v>
      </c>
      <c r="B526" s="10" t="s">
        <v>25</v>
      </c>
      <c r="C526" s="11" t="s">
        <v>15</v>
      </c>
      <c r="D526" s="10" t="s">
        <v>18</v>
      </c>
      <c r="E526" s="12">
        <v>44024</v>
      </c>
      <c r="F526" s="31">
        <v>340.95</v>
      </c>
      <c r="G526" s="13">
        <v>9</v>
      </c>
      <c r="H526" s="31">
        <f t="shared" si="8"/>
        <v>3068.5499999999997</v>
      </c>
    </row>
    <row r="527" spans="1:8" x14ac:dyDescent="0.3">
      <c r="A527" s="17" t="s">
        <v>11</v>
      </c>
      <c r="B527" s="10" t="s">
        <v>23</v>
      </c>
      <c r="C527" s="11" t="s">
        <v>14</v>
      </c>
      <c r="D527" s="10" t="s">
        <v>21</v>
      </c>
      <c r="E527" s="12">
        <v>43873</v>
      </c>
      <c r="F527" s="31">
        <v>340.95</v>
      </c>
      <c r="G527" s="13">
        <v>4</v>
      </c>
      <c r="H527" s="31">
        <f t="shared" si="8"/>
        <v>1363.8</v>
      </c>
    </row>
    <row r="528" spans="1:8" x14ac:dyDescent="0.3">
      <c r="A528" s="9" t="s">
        <v>5</v>
      </c>
      <c r="B528" s="10" t="s">
        <v>26</v>
      </c>
      <c r="C528" s="11" t="s">
        <v>15</v>
      </c>
      <c r="D528" s="10" t="s">
        <v>22</v>
      </c>
      <c r="E528" s="12">
        <v>44501</v>
      </c>
      <c r="F528" s="31">
        <v>168.95</v>
      </c>
      <c r="G528" s="13">
        <v>13</v>
      </c>
      <c r="H528" s="31">
        <f t="shared" si="8"/>
        <v>2196.35</v>
      </c>
    </row>
    <row r="529" spans="1:8" x14ac:dyDescent="0.3">
      <c r="A529" s="17" t="s">
        <v>8</v>
      </c>
      <c r="B529" s="10" t="s">
        <v>26</v>
      </c>
      <c r="C529" s="11" t="s">
        <v>17</v>
      </c>
      <c r="D529" s="10" t="s">
        <v>20</v>
      </c>
      <c r="E529" s="12">
        <v>44086</v>
      </c>
      <c r="F529" s="31">
        <v>168.95</v>
      </c>
      <c r="G529" s="13">
        <v>4</v>
      </c>
      <c r="H529" s="31">
        <f t="shared" si="8"/>
        <v>675.8</v>
      </c>
    </row>
    <row r="530" spans="1:8" x14ac:dyDescent="0.3">
      <c r="A530" s="17" t="s">
        <v>4</v>
      </c>
      <c r="B530" s="10" t="s">
        <v>23</v>
      </c>
      <c r="C530" s="11" t="s">
        <v>14</v>
      </c>
      <c r="D530" s="10" t="s">
        <v>20</v>
      </c>
      <c r="E530" s="12">
        <v>43899</v>
      </c>
      <c r="F530" s="31">
        <v>340.95</v>
      </c>
      <c r="G530" s="13">
        <v>1</v>
      </c>
      <c r="H530" s="31">
        <f t="shared" si="8"/>
        <v>340.95</v>
      </c>
    </row>
    <row r="531" spans="1:8" x14ac:dyDescent="0.3">
      <c r="A531" s="9" t="s">
        <v>13</v>
      </c>
      <c r="B531" s="10" t="s">
        <v>26</v>
      </c>
      <c r="C531" s="11" t="s">
        <v>16</v>
      </c>
      <c r="D531" s="10" t="s">
        <v>21</v>
      </c>
      <c r="E531" s="12">
        <v>44125</v>
      </c>
      <c r="F531" s="31">
        <v>168.95</v>
      </c>
      <c r="G531" s="13">
        <v>7</v>
      </c>
      <c r="H531" s="31">
        <f t="shared" si="8"/>
        <v>1182.6499999999999</v>
      </c>
    </row>
    <row r="532" spans="1:8" x14ac:dyDescent="0.3">
      <c r="A532" s="17" t="s">
        <v>4</v>
      </c>
      <c r="B532" s="10" t="s">
        <v>24</v>
      </c>
      <c r="C532" s="11" t="s">
        <v>14</v>
      </c>
      <c r="D532" s="10" t="s">
        <v>22</v>
      </c>
      <c r="E532" s="12">
        <v>44378</v>
      </c>
      <c r="F532" s="31">
        <v>79.989999999999995</v>
      </c>
      <c r="G532" s="13">
        <v>8</v>
      </c>
      <c r="H532" s="31">
        <f t="shared" si="8"/>
        <v>639.91999999999996</v>
      </c>
    </row>
    <row r="533" spans="1:8" x14ac:dyDescent="0.3">
      <c r="A533" s="9" t="s">
        <v>3</v>
      </c>
      <c r="B533" s="10" t="s">
        <v>24</v>
      </c>
      <c r="C533" s="11" t="s">
        <v>15</v>
      </c>
      <c r="D533" s="10" t="s">
        <v>19</v>
      </c>
      <c r="E533" s="12">
        <v>44328</v>
      </c>
      <c r="F533" s="31">
        <v>79.989999999999995</v>
      </c>
      <c r="G533" s="13">
        <v>10</v>
      </c>
      <c r="H533" s="31">
        <f t="shared" si="8"/>
        <v>799.9</v>
      </c>
    </row>
    <row r="534" spans="1:8" x14ac:dyDescent="0.3">
      <c r="A534" s="17" t="s">
        <v>4</v>
      </c>
      <c r="B534" s="10" t="s">
        <v>23</v>
      </c>
      <c r="C534" s="11" t="s">
        <v>14</v>
      </c>
      <c r="D534" s="10" t="s">
        <v>22</v>
      </c>
      <c r="E534" s="12">
        <v>44405</v>
      </c>
      <c r="F534" s="31">
        <v>340.95</v>
      </c>
      <c r="G534" s="13">
        <v>14</v>
      </c>
      <c r="H534" s="31">
        <f t="shared" si="8"/>
        <v>4773.3</v>
      </c>
    </row>
    <row r="535" spans="1:8" x14ac:dyDescent="0.3">
      <c r="A535" s="17" t="s">
        <v>12</v>
      </c>
      <c r="B535" s="10" t="s">
        <v>26</v>
      </c>
      <c r="C535" s="11" t="s">
        <v>15</v>
      </c>
      <c r="D535" s="10" t="s">
        <v>21</v>
      </c>
      <c r="E535" s="12">
        <v>44342</v>
      </c>
      <c r="F535" s="31">
        <v>168.95</v>
      </c>
      <c r="G535" s="13">
        <v>12</v>
      </c>
      <c r="H535" s="31">
        <f t="shared" si="8"/>
        <v>2027.3999999999999</v>
      </c>
    </row>
    <row r="536" spans="1:8" x14ac:dyDescent="0.3">
      <c r="A536" s="9" t="s">
        <v>13</v>
      </c>
      <c r="B536" s="10" t="s">
        <v>24</v>
      </c>
      <c r="C536" s="11" t="s">
        <v>16</v>
      </c>
      <c r="D536" s="10" t="s">
        <v>22</v>
      </c>
      <c r="E536" s="12">
        <v>44072</v>
      </c>
      <c r="F536" s="31">
        <v>79.989999999999995</v>
      </c>
      <c r="G536" s="13">
        <v>5</v>
      </c>
      <c r="H536" s="31">
        <f t="shared" si="8"/>
        <v>399.95</v>
      </c>
    </row>
    <row r="537" spans="1:8" x14ac:dyDescent="0.3">
      <c r="A537" s="9" t="s">
        <v>3</v>
      </c>
      <c r="B537" s="10" t="s">
        <v>25</v>
      </c>
      <c r="C537" s="11" t="s">
        <v>15</v>
      </c>
      <c r="D537" s="10" t="s">
        <v>18</v>
      </c>
      <c r="E537" s="12">
        <v>43836</v>
      </c>
      <c r="F537" s="31">
        <v>340.95</v>
      </c>
      <c r="G537" s="13">
        <v>9</v>
      </c>
      <c r="H537" s="31">
        <f t="shared" si="8"/>
        <v>3068.5499999999997</v>
      </c>
    </row>
    <row r="538" spans="1:8" x14ac:dyDescent="0.3">
      <c r="A538" s="9" t="s">
        <v>7</v>
      </c>
      <c r="B538" s="10" t="s">
        <v>26</v>
      </c>
      <c r="C538" s="11" t="s">
        <v>17</v>
      </c>
      <c r="D538" s="10" t="s">
        <v>21</v>
      </c>
      <c r="E538" s="12">
        <v>43898</v>
      </c>
      <c r="F538" s="31">
        <v>168.95</v>
      </c>
      <c r="G538" s="13">
        <v>11</v>
      </c>
      <c r="H538" s="31">
        <f t="shared" si="8"/>
        <v>1858.4499999999998</v>
      </c>
    </row>
    <row r="539" spans="1:8" x14ac:dyDescent="0.3">
      <c r="A539" s="9" t="s">
        <v>7</v>
      </c>
      <c r="B539" s="10" t="s">
        <v>25</v>
      </c>
      <c r="C539" s="11" t="s">
        <v>17</v>
      </c>
      <c r="D539" s="10" t="s">
        <v>19</v>
      </c>
      <c r="E539" s="12">
        <v>44511</v>
      </c>
      <c r="F539" s="31">
        <v>340.95</v>
      </c>
      <c r="G539" s="13">
        <v>10</v>
      </c>
      <c r="H539" s="31">
        <f t="shared" si="8"/>
        <v>3409.5</v>
      </c>
    </row>
    <row r="540" spans="1:8" x14ac:dyDescent="0.3">
      <c r="A540" s="9" t="s">
        <v>5</v>
      </c>
      <c r="B540" s="10" t="s">
        <v>27</v>
      </c>
      <c r="C540" s="11" t="s">
        <v>15</v>
      </c>
      <c r="D540" s="10" t="s">
        <v>18</v>
      </c>
      <c r="E540" s="12">
        <v>44489</v>
      </c>
      <c r="F540" s="31">
        <v>799.95</v>
      </c>
      <c r="G540" s="13">
        <v>11</v>
      </c>
      <c r="H540" s="31">
        <f t="shared" si="8"/>
        <v>8799.4500000000007</v>
      </c>
    </row>
    <row r="541" spans="1:8" x14ac:dyDescent="0.3">
      <c r="A541" s="17" t="s">
        <v>11</v>
      </c>
      <c r="B541" s="10" t="s">
        <v>23</v>
      </c>
      <c r="C541" s="11" t="s">
        <v>14</v>
      </c>
      <c r="D541" s="10" t="s">
        <v>20</v>
      </c>
      <c r="E541" s="12">
        <v>43917</v>
      </c>
      <c r="F541" s="31">
        <v>340.95</v>
      </c>
      <c r="G541" s="13">
        <v>6</v>
      </c>
      <c r="H541" s="31">
        <f t="shared" si="8"/>
        <v>2045.6999999999998</v>
      </c>
    </row>
    <row r="542" spans="1:8" x14ac:dyDescent="0.3">
      <c r="A542" s="17" t="s">
        <v>12</v>
      </c>
      <c r="B542" s="10" t="s">
        <v>26</v>
      </c>
      <c r="C542" s="11" t="s">
        <v>15</v>
      </c>
      <c r="D542" s="10" t="s">
        <v>20</v>
      </c>
      <c r="E542" s="12">
        <v>44423</v>
      </c>
      <c r="F542" s="31">
        <v>168.95</v>
      </c>
      <c r="G542" s="13">
        <v>5</v>
      </c>
      <c r="H542" s="31">
        <f t="shared" si="8"/>
        <v>844.75</v>
      </c>
    </row>
    <row r="543" spans="1:8" x14ac:dyDescent="0.3">
      <c r="A543" s="9" t="s">
        <v>5</v>
      </c>
      <c r="B543" s="10" t="s">
        <v>26</v>
      </c>
      <c r="C543" s="11" t="s">
        <v>15</v>
      </c>
      <c r="D543" s="10" t="s">
        <v>19</v>
      </c>
      <c r="E543" s="12">
        <v>44345</v>
      </c>
      <c r="F543" s="31">
        <v>168.95</v>
      </c>
      <c r="G543" s="13">
        <v>13</v>
      </c>
      <c r="H543" s="31">
        <f t="shared" si="8"/>
        <v>2196.35</v>
      </c>
    </row>
    <row r="544" spans="1:8" x14ac:dyDescent="0.3">
      <c r="A544" s="9" t="s">
        <v>2</v>
      </c>
      <c r="B544" s="10" t="s">
        <v>24</v>
      </c>
      <c r="C544" s="11" t="s">
        <v>14</v>
      </c>
      <c r="D544" s="10" t="s">
        <v>22</v>
      </c>
      <c r="E544" s="12">
        <v>43946</v>
      </c>
      <c r="F544" s="31">
        <v>79.989999999999995</v>
      </c>
      <c r="G544" s="13">
        <v>7</v>
      </c>
      <c r="H544" s="31">
        <f t="shared" si="8"/>
        <v>559.92999999999995</v>
      </c>
    </row>
    <row r="545" spans="1:8" x14ac:dyDescent="0.3">
      <c r="A545" s="9" t="s">
        <v>3</v>
      </c>
      <c r="B545" s="10" t="s">
        <v>23</v>
      </c>
      <c r="C545" s="11" t="s">
        <v>15</v>
      </c>
      <c r="D545" s="10" t="s">
        <v>20</v>
      </c>
      <c r="E545" s="12">
        <v>44086</v>
      </c>
      <c r="F545" s="31">
        <v>340.95</v>
      </c>
      <c r="G545" s="13">
        <v>10</v>
      </c>
      <c r="H545" s="31">
        <f t="shared" si="8"/>
        <v>3409.5</v>
      </c>
    </row>
    <row r="546" spans="1:8" x14ac:dyDescent="0.3">
      <c r="A546" s="17" t="s">
        <v>4</v>
      </c>
      <c r="B546" s="10" t="s">
        <v>27</v>
      </c>
      <c r="C546" s="11" t="s">
        <v>14</v>
      </c>
      <c r="D546" s="10" t="s">
        <v>20</v>
      </c>
      <c r="E546" s="12">
        <v>44098</v>
      </c>
      <c r="F546" s="31">
        <v>799.95</v>
      </c>
      <c r="G546" s="13">
        <v>4</v>
      </c>
      <c r="H546" s="31">
        <f t="shared" si="8"/>
        <v>3199.8</v>
      </c>
    </row>
    <row r="547" spans="1:8" x14ac:dyDescent="0.3">
      <c r="A547" s="17" t="s">
        <v>12</v>
      </c>
      <c r="B547" s="10" t="s">
        <v>26</v>
      </c>
      <c r="C547" s="11" t="s">
        <v>15</v>
      </c>
      <c r="D547" s="10" t="s">
        <v>22</v>
      </c>
      <c r="E547" s="12">
        <v>44282</v>
      </c>
      <c r="F547" s="31">
        <v>168.95</v>
      </c>
      <c r="G547" s="13">
        <v>9</v>
      </c>
      <c r="H547" s="31">
        <f t="shared" si="8"/>
        <v>1520.55</v>
      </c>
    </row>
    <row r="548" spans="1:8" x14ac:dyDescent="0.3">
      <c r="A548" s="17" t="s">
        <v>12</v>
      </c>
      <c r="B548" s="10" t="s">
        <v>25</v>
      </c>
      <c r="C548" s="11" t="s">
        <v>15</v>
      </c>
      <c r="D548" s="10" t="s">
        <v>21</v>
      </c>
      <c r="E548" s="12">
        <v>44086</v>
      </c>
      <c r="F548" s="31">
        <v>340.95</v>
      </c>
      <c r="G548" s="13">
        <v>3</v>
      </c>
      <c r="H548" s="31">
        <f t="shared" si="8"/>
        <v>1022.8499999999999</v>
      </c>
    </row>
    <row r="549" spans="1:8" x14ac:dyDescent="0.3">
      <c r="A549" s="17" t="s">
        <v>4</v>
      </c>
      <c r="B549" s="10" t="s">
        <v>27</v>
      </c>
      <c r="C549" s="11" t="s">
        <v>14</v>
      </c>
      <c r="D549" s="10" t="s">
        <v>19</v>
      </c>
      <c r="E549" s="12">
        <v>43872</v>
      </c>
      <c r="F549" s="31">
        <v>799.95</v>
      </c>
      <c r="G549" s="13">
        <v>11</v>
      </c>
      <c r="H549" s="31">
        <f t="shared" si="8"/>
        <v>8799.4500000000007</v>
      </c>
    </row>
    <row r="550" spans="1:8" x14ac:dyDescent="0.3">
      <c r="A550" s="17" t="s">
        <v>12</v>
      </c>
      <c r="B550" s="10" t="s">
        <v>23</v>
      </c>
      <c r="C550" s="11" t="s">
        <v>15</v>
      </c>
      <c r="D550" s="10" t="s">
        <v>18</v>
      </c>
      <c r="E550" s="12">
        <v>44057</v>
      </c>
      <c r="F550" s="31">
        <v>340.95</v>
      </c>
      <c r="G550" s="13">
        <v>20</v>
      </c>
      <c r="H550" s="31">
        <f t="shared" si="8"/>
        <v>6819</v>
      </c>
    </row>
    <row r="551" spans="1:8" x14ac:dyDescent="0.3">
      <c r="A551" s="17" t="s">
        <v>4</v>
      </c>
      <c r="B551" s="10" t="s">
        <v>25</v>
      </c>
      <c r="C551" s="11" t="s">
        <v>14</v>
      </c>
      <c r="D551" s="10" t="s">
        <v>22</v>
      </c>
      <c r="E551" s="12">
        <v>43870</v>
      </c>
      <c r="F551" s="31">
        <v>340.95</v>
      </c>
      <c r="G551" s="13">
        <v>3</v>
      </c>
      <c r="H551" s="31">
        <f t="shared" si="8"/>
        <v>1022.8499999999999</v>
      </c>
    </row>
    <row r="552" spans="1:8" x14ac:dyDescent="0.3">
      <c r="A552" s="17" t="s">
        <v>4</v>
      </c>
      <c r="B552" s="10" t="s">
        <v>24</v>
      </c>
      <c r="C552" s="11" t="s">
        <v>14</v>
      </c>
      <c r="D552" s="10" t="s">
        <v>18</v>
      </c>
      <c r="E552" s="12">
        <v>44088</v>
      </c>
      <c r="F552" s="31">
        <v>79.989999999999995</v>
      </c>
      <c r="G552" s="13">
        <v>13</v>
      </c>
      <c r="H552" s="31">
        <f t="shared" si="8"/>
        <v>1039.8699999999999</v>
      </c>
    </row>
    <row r="553" spans="1:8" x14ac:dyDescent="0.3">
      <c r="A553" s="9" t="s">
        <v>2</v>
      </c>
      <c r="B553" s="10" t="s">
        <v>27</v>
      </c>
      <c r="C553" s="11" t="s">
        <v>14</v>
      </c>
      <c r="D553" s="10" t="s">
        <v>21</v>
      </c>
      <c r="E553" s="12">
        <v>44364</v>
      </c>
      <c r="F553" s="31">
        <v>799.95</v>
      </c>
      <c r="G553" s="13">
        <v>1</v>
      </c>
      <c r="H553" s="31">
        <f t="shared" si="8"/>
        <v>799.95</v>
      </c>
    </row>
    <row r="554" spans="1:8" x14ac:dyDescent="0.3">
      <c r="A554" s="9" t="s">
        <v>13</v>
      </c>
      <c r="B554" s="10" t="s">
        <v>24</v>
      </c>
      <c r="C554" s="11" t="s">
        <v>16</v>
      </c>
      <c r="D554" s="10" t="s">
        <v>19</v>
      </c>
      <c r="E554" s="12">
        <v>44100</v>
      </c>
      <c r="F554" s="31">
        <v>79.989999999999995</v>
      </c>
      <c r="G554" s="13">
        <v>3</v>
      </c>
      <c r="H554" s="31">
        <f t="shared" si="8"/>
        <v>239.96999999999997</v>
      </c>
    </row>
    <row r="555" spans="1:8" x14ac:dyDescent="0.3">
      <c r="A555" s="17" t="s">
        <v>11</v>
      </c>
      <c r="B555" s="10" t="s">
        <v>23</v>
      </c>
      <c r="C555" s="11" t="s">
        <v>14</v>
      </c>
      <c r="D555" s="10" t="s">
        <v>21</v>
      </c>
      <c r="E555" s="12">
        <v>44088</v>
      </c>
      <c r="F555" s="31">
        <v>340.95</v>
      </c>
      <c r="G555" s="13">
        <v>8</v>
      </c>
      <c r="H555" s="31">
        <f t="shared" si="8"/>
        <v>2727.6</v>
      </c>
    </row>
    <row r="556" spans="1:8" x14ac:dyDescent="0.3">
      <c r="A556" s="9" t="s">
        <v>5</v>
      </c>
      <c r="B556" s="10" t="s">
        <v>25</v>
      </c>
      <c r="C556" s="11" t="s">
        <v>16</v>
      </c>
      <c r="D556" s="10" t="s">
        <v>20</v>
      </c>
      <c r="E556" s="12">
        <v>44322</v>
      </c>
      <c r="F556" s="31">
        <v>340.95</v>
      </c>
      <c r="G556" s="13">
        <v>9</v>
      </c>
      <c r="H556" s="31">
        <f t="shared" si="8"/>
        <v>3068.5499999999997</v>
      </c>
    </row>
    <row r="557" spans="1:8" x14ac:dyDescent="0.3">
      <c r="A557" s="17" t="s">
        <v>8</v>
      </c>
      <c r="B557" s="10" t="s">
        <v>23</v>
      </c>
      <c r="C557" s="11" t="s">
        <v>17</v>
      </c>
      <c r="D557" s="10" t="s">
        <v>18</v>
      </c>
      <c r="E557" s="12">
        <v>44198</v>
      </c>
      <c r="F557" s="31">
        <v>340.95</v>
      </c>
      <c r="G557" s="13">
        <v>12</v>
      </c>
      <c r="H557" s="31">
        <f t="shared" si="8"/>
        <v>4091.3999999999996</v>
      </c>
    </row>
    <row r="558" spans="1:8" x14ac:dyDescent="0.3">
      <c r="A558" s="9" t="s">
        <v>13</v>
      </c>
      <c r="B558" s="10" t="s">
        <v>23</v>
      </c>
      <c r="C558" s="11" t="s">
        <v>16</v>
      </c>
      <c r="D558" s="10" t="s">
        <v>19</v>
      </c>
      <c r="E558" s="12">
        <v>43926</v>
      </c>
      <c r="F558" s="31">
        <v>340.95</v>
      </c>
      <c r="G558" s="13">
        <v>3</v>
      </c>
      <c r="H558" s="31">
        <f t="shared" si="8"/>
        <v>1022.8499999999999</v>
      </c>
    </row>
    <row r="559" spans="1:8" x14ac:dyDescent="0.3">
      <c r="A559" s="9" t="s">
        <v>5</v>
      </c>
      <c r="B559" s="10" t="s">
        <v>25</v>
      </c>
      <c r="C559" s="11" t="s">
        <v>16</v>
      </c>
      <c r="D559" s="10" t="s">
        <v>19</v>
      </c>
      <c r="E559" s="12">
        <v>44198</v>
      </c>
      <c r="F559" s="31">
        <v>340.95</v>
      </c>
      <c r="G559" s="13">
        <v>4</v>
      </c>
      <c r="H559" s="31">
        <f t="shared" si="8"/>
        <v>1363.8</v>
      </c>
    </row>
    <row r="560" spans="1:8" x14ac:dyDescent="0.3">
      <c r="A560" s="17" t="s">
        <v>12</v>
      </c>
      <c r="B560" s="10" t="s">
        <v>24</v>
      </c>
      <c r="C560" s="11" t="s">
        <v>15</v>
      </c>
      <c r="D560" s="10" t="s">
        <v>19</v>
      </c>
      <c r="E560" s="12">
        <v>44234</v>
      </c>
      <c r="F560" s="31">
        <v>79.989999999999995</v>
      </c>
      <c r="G560" s="13">
        <v>1</v>
      </c>
      <c r="H560" s="31">
        <f t="shared" si="8"/>
        <v>79.989999999999995</v>
      </c>
    </row>
    <row r="561" spans="1:8" x14ac:dyDescent="0.3">
      <c r="A561" s="9" t="s">
        <v>2</v>
      </c>
      <c r="B561" s="10" t="s">
        <v>27</v>
      </c>
      <c r="C561" s="11" t="s">
        <v>14</v>
      </c>
      <c r="D561" s="10" t="s">
        <v>18</v>
      </c>
      <c r="E561" s="12">
        <v>44360</v>
      </c>
      <c r="F561" s="31">
        <v>799.95</v>
      </c>
      <c r="G561" s="13">
        <v>11</v>
      </c>
      <c r="H561" s="31">
        <f t="shared" si="8"/>
        <v>8799.4500000000007</v>
      </c>
    </row>
    <row r="562" spans="1:8" x14ac:dyDescent="0.3">
      <c r="A562" s="17" t="s">
        <v>8</v>
      </c>
      <c r="B562" s="10" t="s">
        <v>24</v>
      </c>
      <c r="C562" s="11" t="s">
        <v>17</v>
      </c>
      <c r="D562" s="10" t="s">
        <v>22</v>
      </c>
      <c r="E562" s="12">
        <v>44456</v>
      </c>
      <c r="F562" s="31">
        <v>79.989999999999995</v>
      </c>
      <c r="G562" s="13">
        <v>1</v>
      </c>
      <c r="H562" s="31">
        <f t="shared" si="8"/>
        <v>79.989999999999995</v>
      </c>
    </row>
    <row r="563" spans="1:8" x14ac:dyDescent="0.3">
      <c r="A563" s="9" t="s">
        <v>13</v>
      </c>
      <c r="B563" s="10" t="s">
        <v>26</v>
      </c>
      <c r="C563" s="11" t="s">
        <v>16</v>
      </c>
      <c r="D563" s="10" t="s">
        <v>20</v>
      </c>
      <c r="E563" s="12">
        <v>44413</v>
      </c>
      <c r="F563" s="31">
        <v>168.95</v>
      </c>
      <c r="G563" s="13">
        <v>5</v>
      </c>
      <c r="H563" s="31">
        <f t="shared" si="8"/>
        <v>844.75</v>
      </c>
    </row>
    <row r="564" spans="1:8" x14ac:dyDescent="0.3">
      <c r="A564" s="9" t="s">
        <v>9</v>
      </c>
      <c r="B564" s="10" t="s">
        <v>25</v>
      </c>
      <c r="C564" s="11" t="s">
        <v>15</v>
      </c>
      <c r="D564" s="10" t="s">
        <v>20</v>
      </c>
      <c r="E564" s="12">
        <v>44078</v>
      </c>
      <c r="F564" s="31">
        <v>340.95</v>
      </c>
      <c r="G564" s="13">
        <v>9</v>
      </c>
      <c r="H564" s="31">
        <f t="shared" si="8"/>
        <v>3068.5499999999997</v>
      </c>
    </row>
    <row r="565" spans="1:8" x14ac:dyDescent="0.3">
      <c r="A565" s="9" t="s">
        <v>5</v>
      </c>
      <c r="B565" s="10" t="s">
        <v>25</v>
      </c>
      <c r="C565" s="11" t="s">
        <v>16</v>
      </c>
      <c r="D565" s="10" t="s">
        <v>20</v>
      </c>
      <c r="E565" s="12">
        <v>44132</v>
      </c>
      <c r="F565" s="31">
        <v>340.95</v>
      </c>
      <c r="G565" s="13">
        <v>5</v>
      </c>
      <c r="H565" s="31">
        <f t="shared" si="8"/>
        <v>1704.75</v>
      </c>
    </row>
    <row r="566" spans="1:8" x14ac:dyDescent="0.3">
      <c r="A566" s="9" t="s">
        <v>3</v>
      </c>
      <c r="B566" s="10" t="s">
        <v>23</v>
      </c>
      <c r="C566" s="11" t="s">
        <v>15</v>
      </c>
      <c r="D566" s="10" t="s">
        <v>22</v>
      </c>
      <c r="E566" s="12">
        <v>44328</v>
      </c>
      <c r="F566" s="31">
        <v>340.95</v>
      </c>
      <c r="G566" s="13">
        <v>5</v>
      </c>
      <c r="H566" s="31">
        <f t="shared" si="8"/>
        <v>1704.75</v>
      </c>
    </row>
    <row r="567" spans="1:8" x14ac:dyDescent="0.3">
      <c r="A567" s="17" t="s">
        <v>4</v>
      </c>
      <c r="B567" s="10" t="s">
        <v>27</v>
      </c>
      <c r="C567" s="11" t="s">
        <v>14</v>
      </c>
      <c r="D567" s="10" t="s">
        <v>18</v>
      </c>
      <c r="E567" s="12">
        <v>43884</v>
      </c>
      <c r="F567" s="31">
        <v>799.95</v>
      </c>
      <c r="G567" s="13">
        <v>17</v>
      </c>
      <c r="H567" s="31">
        <f t="shared" si="8"/>
        <v>13599.150000000001</v>
      </c>
    </row>
    <row r="568" spans="1:8" x14ac:dyDescent="0.3">
      <c r="A568" s="9" t="s">
        <v>13</v>
      </c>
      <c r="B568" s="10" t="s">
        <v>27</v>
      </c>
      <c r="C568" s="11" t="s">
        <v>16</v>
      </c>
      <c r="D568" s="10" t="s">
        <v>20</v>
      </c>
      <c r="E568" s="12">
        <v>44347</v>
      </c>
      <c r="F568" s="31">
        <v>799.95</v>
      </c>
      <c r="G568" s="13">
        <v>12</v>
      </c>
      <c r="H568" s="31">
        <f t="shared" si="8"/>
        <v>9599.4000000000015</v>
      </c>
    </row>
    <row r="569" spans="1:8" x14ac:dyDescent="0.3">
      <c r="A569" s="9" t="s">
        <v>9</v>
      </c>
      <c r="B569" s="10" t="s">
        <v>27</v>
      </c>
      <c r="C569" s="11" t="s">
        <v>15</v>
      </c>
      <c r="D569" s="10" t="s">
        <v>18</v>
      </c>
      <c r="E569" s="12">
        <v>44160</v>
      </c>
      <c r="F569" s="31">
        <v>799.95</v>
      </c>
      <c r="G569" s="13">
        <v>14</v>
      </c>
      <c r="H569" s="31">
        <f t="shared" si="8"/>
        <v>11199.300000000001</v>
      </c>
    </row>
    <row r="570" spans="1:8" x14ac:dyDescent="0.3">
      <c r="A570" s="17" t="s">
        <v>4</v>
      </c>
      <c r="B570" s="10" t="s">
        <v>26</v>
      </c>
      <c r="C570" s="11" t="s">
        <v>14</v>
      </c>
      <c r="D570" s="10" t="s">
        <v>18</v>
      </c>
      <c r="E570" s="12">
        <v>44042</v>
      </c>
      <c r="F570" s="31">
        <v>168.95</v>
      </c>
      <c r="G570" s="13">
        <v>12</v>
      </c>
      <c r="H570" s="31">
        <f t="shared" si="8"/>
        <v>2027.3999999999999</v>
      </c>
    </row>
    <row r="571" spans="1:8" x14ac:dyDescent="0.3">
      <c r="A571" s="9" t="s">
        <v>9</v>
      </c>
      <c r="B571" s="10" t="s">
        <v>26</v>
      </c>
      <c r="C571" s="11" t="s">
        <v>15</v>
      </c>
      <c r="D571" s="10" t="s">
        <v>19</v>
      </c>
      <c r="E571" s="12">
        <v>43934</v>
      </c>
      <c r="F571" s="31">
        <v>168.95</v>
      </c>
      <c r="G571" s="13">
        <v>10</v>
      </c>
      <c r="H571" s="31">
        <f t="shared" si="8"/>
        <v>1689.5</v>
      </c>
    </row>
    <row r="572" spans="1:8" x14ac:dyDescent="0.3">
      <c r="A572" s="17" t="s">
        <v>4</v>
      </c>
      <c r="B572" s="10" t="s">
        <v>26</v>
      </c>
      <c r="C572" s="11" t="s">
        <v>14</v>
      </c>
      <c r="D572" s="10" t="s">
        <v>22</v>
      </c>
      <c r="E572" s="12">
        <v>43847</v>
      </c>
      <c r="F572" s="31">
        <v>168.95</v>
      </c>
      <c r="G572" s="13">
        <v>10</v>
      </c>
      <c r="H572" s="31">
        <f t="shared" si="8"/>
        <v>1689.5</v>
      </c>
    </row>
    <row r="573" spans="1:8" x14ac:dyDescent="0.3">
      <c r="A573" s="17" t="s">
        <v>12</v>
      </c>
      <c r="B573" s="10" t="s">
        <v>27</v>
      </c>
      <c r="C573" s="11" t="s">
        <v>15</v>
      </c>
      <c r="D573" s="10" t="s">
        <v>21</v>
      </c>
      <c r="E573" s="12">
        <v>44050</v>
      </c>
      <c r="F573" s="31">
        <v>799.95</v>
      </c>
      <c r="G573" s="13">
        <v>8</v>
      </c>
      <c r="H573" s="31">
        <f t="shared" si="8"/>
        <v>6399.6</v>
      </c>
    </row>
    <row r="574" spans="1:8" x14ac:dyDescent="0.3">
      <c r="A574" s="17" t="s">
        <v>12</v>
      </c>
      <c r="B574" s="10" t="s">
        <v>26</v>
      </c>
      <c r="C574" s="11" t="s">
        <v>15</v>
      </c>
      <c r="D574" s="10" t="s">
        <v>22</v>
      </c>
      <c r="E574" s="12">
        <v>44204</v>
      </c>
      <c r="F574" s="31">
        <v>168.95</v>
      </c>
      <c r="G574" s="13">
        <v>4</v>
      </c>
      <c r="H574" s="31">
        <f t="shared" si="8"/>
        <v>675.8</v>
      </c>
    </row>
    <row r="575" spans="1:8" x14ac:dyDescent="0.3">
      <c r="A575" s="17" t="s">
        <v>10</v>
      </c>
      <c r="B575" s="10" t="s">
        <v>23</v>
      </c>
      <c r="C575" s="11" t="s">
        <v>16</v>
      </c>
      <c r="D575" s="10" t="s">
        <v>20</v>
      </c>
      <c r="E575" s="12">
        <v>44210</v>
      </c>
      <c r="F575" s="31">
        <v>340.95</v>
      </c>
      <c r="G575" s="13">
        <v>15</v>
      </c>
      <c r="H575" s="31">
        <f t="shared" si="8"/>
        <v>5114.25</v>
      </c>
    </row>
    <row r="576" spans="1:8" x14ac:dyDescent="0.3">
      <c r="A576" s="9" t="s">
        <v>5</v>
      </c>
      <c r="B576" s="10" t="s">
        <v>27</v>
      </c>
      <c r="C576" s="11" t="s">
        <v>15</v>
      </c>
      <c r="D576" s="10" t="s">
        <v>18</v>
      </c>
      <c r="E576" s="12">
        <v>44371</v>
      </c>
      <c r="F576" s="31">
        <v>799.95</v>
      </c>
      <c r="G576" s="13">
        <v>19</v>
      </c>
      <c r="H576" s="31">
        <f t="shared" si="8"/>
        <v>15199.050000000001</v>
      </c>
    </row>
    <row r="577" spans="1:8" x14ac:dyDescent="0.3">
      <c r="A577" s="9" t="s">
        <v>2</v>
      </c>
      <c r="B577" s="10" t="s">
        <v>24</v>
      </c>
      <c r="C577" s="11" t="s">
        <v>14</v>
      </c>
      <c r="D577" s="10" t="s">
        <v>20</v>
      </c>
      <c r="E577" s="12">
        <v>44349</v>
      </c>
      <c r="F577" s="31">
        <v>79.989999999999995</v>
      </c>
      <c r="G577" s="13">
        <v>3</v>
      </c>
      <c r="H577" s="31">
        <f t="shared" si="8"/>
        <v>239.96999999999997</v>
      </c>
    </row>
    <row r="578" spans="1:8" x14ac:dyDescent="0.3">
      <c r="A578" s="17" t="s">
        <v>4</v>
      </c>
      <c r="B578" s="10" t="s">
        <v>26</v>
      </c>
      <c r="C578" s="11" t="s">
        <v>14</v>
      </c>
      <c r="D578" s="10" t="s">
        <v>18</v>
      </c>
      <c r="E578" s="12">
        <v>44421</v>
      </c>
      <c r="F578" s="31">
        <v>168.95</v>
      </c>
      <c r="G578" s="13">
        <v>8</v>
      </c>
      <c r="H578" s="31">
        <f t="shared" ref="H578:H641" si="9">F578*G578</f>
        <v>1351.6</v>
      </c>
    </row>
    <row r="579" spans="1:8" x14ac:dyDescent="0.3">
      <c r="A579" s="17" t="s">
        <v>11</v>
      </c>
      <c r="B579" s="10" t="s">
        <v>23</v>
      </c>
      <c r="C579" s="11" t="s">
        <v>14</v>
      </c>
      <c r="D579" s="10" t="s">
        <v>21</v>
      </c>
      <c r="E579" s="12">
        <v>43873</v>
      </c>
      <c r="F579" s="31">
        <v>340.95</v>
      </c>
      <c r="G579" s="13">
        <v>6</v>
      </c>
      <c r="H579" s="31">
        <f t="shared" si="9"/>
        <v>2045.6999999999998</v>
      </c>
    </row>
    <row r="580" spans="1:8" x14ac:dyDescent="0.3">
      <c r="A580" s="17" t="s">
        <v>11</v>
      </c>
      <c r="B580" s="10" t="s">
        <v>24</v>
      </c>
      <c r="C580" s="11" t="s">
        <v>14</v>
      </c>
      <c r="D580" s="10" t="s">
        <v>20</v>
      </c>
      <c r="E580" s="12">
        <v>44470</v>
      </c>
      <c r="F580" s="31">
        <v>79.989999999999995</v>
      </c>
      <c r="G580" s="13">
        <v>11</v>
      </c>
      <c r="H580" s="31">
        <f t="shared" si="9"/>
        <v>879.89</v>
      </c>
    </row>
    <row r="581" spans="1:8" x14ac:dyDescent="0.3">
      <c r="A581" s="17" t="s">
        <v>10</v>
      </c>
      <c r="B581" s="10" t="s">
        <v>23</v>
      </c>
      <c r="C581" s="11" t="s">
        <v>16</v>
      </c>
      <c r="D581" s="10" t="s">
        <v>20</v>
      </c>
      <c r="E581" s="12">
        <v>44273</v>
      </c>
      <c r="F581" s="31">
        <v>340.95</v>
      </c>
      <c r="G581" s="13">
        <v>8</v>
      </c>
      <c r="H581" s="31">
        <f t="shared" si="9"/>
        <v>2727.6</v>
      </c>
    </row>
    <row r="582" spans="1:8" x14ac:dyDescent="0.3">
      <c r="A582" s="9" t="s">
        <v>7</v>
      </c>
      <c r="B582" s="10" t="s">
        <v>27</v>
      </c>
      <c r="C582" s="11" t="s">
        <v>17</v>
      </c>
      <c r="D582" s="10" t="s">
        <v>22</v>
      </c>
      <c r="E582" s="12">
        <v>44497</v>
      </c>
      <c r="F582" s="31">
        <v>799.95</v>
      </c>
      <c r="G582" s="13">
        <v>13</v>
      </c>
      <c r="H582" s="31">
        <f t="shared" si="9"/>
        <v>10399.35</v>
      </c>
    </row>
    <row r="583" spans="1:8" x14ac:dyDescent="0.3">
      <c r="A583" s="17" t="s">
        <v>4</v>
      </c>
      <c r="B583" s="10" t="s">
        <v>23</v>
      </c>
      <c r="C583" s="11" t="s">
        <v>14</v>
      </c>
      <c r="D583" s="10" t="s">
        <v>18</v>
      </c>
      <c r="E583" s="12">
        <v>44107</v>
      </c>
      <c r="F583" s="31">
        <v>340.95</v>
      </c>
      <c r="G583" s="13">
        <v>6</v>
      </c>
      <c r="H583" s="31">
        <f t="shared" si="9"/>
        <v>2045.6999999999998</v>
      </c>
    </row>
    <row r="584" spans="1:8" x14ac:dyDescent="0.3">
      <c r="A584" s="17" t="s">
        <v>10</v>
      </c>
      <c r="B584" s="10" t="s">
        <v>26</v>
      </c>
      <c r="C584" s="11" t="s">
        <v>16</v>
      </c>
      <c r="D584" s="10" t="s">
        <v>21</v>
      </c>
      <c r="E584" s="12">
        <v>44168</v>
      </c>
      <c r="F584" s="31">
        <v>168.95</v>
      </c>
      <c r="G584" s="13">
        <v>9</v>
      </c>
      <c r="H584" s="31">
        <f t="shared" si="9"/>
        <v>1520.55</v>
      </c>
    </row>
    <row r="585" spans="1:8" x14ac:dyDescent="0.3">
      <c r="A585" s="9" t="s">
        <v>2</v>
      </c>
      <c r="B585" s="10" t="s">
        <v>24</v>
      </c>
      <c r="C585" s="11" t="s">
        <v>14</v>
      </c>
      <c r="D585" s="10" t="s">
        <v>22</v>
      </c>
      <c r="E585" s="12">
        <v>44415</v>
      </c>
      <c r="F585" s="31">
        <v>79.989999999999995</v>
      </c>
      <c r="G585" s="13">
        <v>3</v>
      </c>
      <c r="H585" s="31">
        <f t="shared" si="9"/>
        <v>239.96999999999997</v>
      </c>
    </row>
    <row r="586" spans="1:8" x14ac:dyDescent="0.3">
      <c r="A586" s="9" t="s">
        <v>7</v>
      </c>
      <c r="B586" s="10" t="s">
        <v>26</v>
      </c>
      <c r="C586" s="11" t="s">
        <v>17</v>
      </c>
      <c r="D586" s="10" t="s">
        <v>18</v>
      </c>
      <c r="E586" s="12">
        <v>44497</v>
      </c>
      <c r="F586" s="31">
        <v>168.95</v>
      </c>
      <c r="G586" s="13">
        <v>18</v>
      </c>
      <c r="H586" s="31">
        <f t="shared" si="9"/>
        <v>3041.1</v>
      </c>
    </row>
    <row r="587" spans="1:8" x14ac:dyDescent="0.3">
      <c r="A587" s="9" t="s">
        <v>3</v>
      </c>
      <c r="B587" s="10" t="s">
        <v>25</v>
      </c>
      <c r="C587" s="11" t="s">
        <v>15</v>
      </c>
      <c r="D587" s="10" t="s">
        <v>21</v>
      </c>
      <c r="E587" s="12">
        <v>44326</v>
      </c>
      <c r="F587" s="31">
        <v>340.95</v>
      </c>
      <c r="G587" s="13">
        <v>10</v>
      </c>
      <c r="H587" s="31">
        <f t="shared" si="9"/>
        <v>3409.5</v>
      </c>
    </row>
    <row r="588" spans="1:8" x14ac:dyDescent="0.3">
      <c r="A588" s="9" t="s">
        <v>3</v>
      </c>
      <c r="B588" s="10" t="s">
        <v>25</v>
      </c>
      <c r="C588" s="11" t="s">
        <v>15</v>
      </c>
      <c r="D588" s="10" t="s">
        <v>19</v>
      </c>
      <c r="E588" s="12">
        <v>44035</v>
      </c>
      <c r="F588" s="31">
        <v>340.95</v>
      </c>
      <c r="G588" s="13">
        <v>13</v>
      </c>
      <c r="H588" s="31">
        <f t="shared" si="9"/>
        <v>4432.3499999999995</v>
      </c>
    </row>
    <row r="589" spans="1:8" x14ac:dyDescent="0.3">
      <c r="A589" s="9" t="s">
        <v>2</v>
      </c>
      <c r="B589" s="10" t="s">
        <v>27</v>
      </c>
      <c r="C589" s="11" t="s">
        <v>14</v>
      </c>
      <c r="D589" s="10" t="s">
        <v>22</v>
      </c>
      <c r="E589" s="12">
        <v>43943</v>
      </c>
      <c r="F589" s="31">
        <v>799.95</v>
      </c>
      <c r="G589" s="13">
        <v>8</v>
      </c>
      <c r="H589" s="31">
        <f t="shared" si="9"/>
        <v>6399.6</v>
      </c>
    </row>
    <row r="590" spans="1:8" x14ac:dyDescent="0.3">
      <c r="A590" s="17" t="s">
        <v>4</v>
      </c>
      <c r="B590" s="10" t="s">
        <v>27</v>
      </c>
      <c r="C590" s="11" t="s">
        <v>14</v>
      </c>
      <c r="D590" s="10" t="s">
        <v>22</v>
      </c>
      <c r="E590" s="12">
        <v>43862</v>
      </c>
      <c r="F590" s="31">
        <v>799.95</v>
      </c>
      <c r="G590" s="13">
        <v>7</v>
      </c>
      <c r="H590" s="31">
        <f t="shared" si="9"/>
        <v>5599.6500000000005</v>
      </c>
    </row>
    <row r="591" spans="1:8" x14ac:dyDescent="0.3">
      <c r="A591" s="9" t="s">
        <v>13</v>
      </c>
      <c r="B591" s="10" t="s">
        <v>25</v>
      </c>
      <c r="C591" s="11" t="s">
        <v>16</v>
      </c>
      <c r="D591" s="10" t="s">
        <v>22</v>
      </c>
      <c r="E591" s="12">
        <v>43861</v>
      </c>
      <c r="F591" s="31">
        <v>340.95</v>
      </c>
      <c r="G591" s="13">
        <v>8</v>
      </c>
      <c r="H591" s="31">
        <f t="shared" si="9"/>
        <v>2727.6</v>
      </c>
    </row>
    <row r="592" spans="1:8" x14ac:dyDescent="0.3">
      <c r="A592" s="17" t="s">
        <v>10</v>
      </c>
      <c r="B592" s="10" t="s">
        <v>23</v>
      </c>
      <c r="C592" s="11" t="s">
        <v>16</v>
      </c>
      <c r="D592" s="10" t="s">
        <v>22</v>
      </c>
      <c r="E592" s="12">
        <v>44471</v>
      </c>
      <c r="F592" s="31">
        <v>340.95</v>
      </c>
      <c r="G592" s="13">
        <v>9</v>
      </c>
      <c r="H592" s="31">
        <f t="shared" si="9"/>
        <v>3068.5499999999997</v>
      </c>
    </row>
    <row r="593" spans="1:8" x14ac:dyDescent="0.3">
      <c r="A593" s="9" t="s">
        <v>3</v>
      </c>
      <c r="B593" s="10" t="s">
        <v>27</v>
      </c>
      <c r="C593" s="11" t="s">
        <v>15</v>
      </c>
      <c r="D593" s="10" t="s">
        <v>22</v>
      </c>
      <c r="E593" s="12">
        <v>44552</v>
      </c>
      <c r="F593" s="31">
        <v>799.95</v>
      </c>
      <c r="G593" s="13">
        <v>3</v>
      </c>
      <c r="H593" s="31">
        <f t="shared" si="9"/>
        <v>2399.8500000000004</v>
      </c>
    </row>
    <row r="594" spans="1:8" x14ac:dyDescent="0.3">
      <c r="A594" s="17" t="s">
        <v>12</v>
      </c>
      <c r="B594" s="10" t="s">
        <v>25</v>
      </c>
      <c r="C594" s="11" t="s">
        <v>15</v>
      </c>
      <c r="D594" s="10" t="s">
        <v>22</v>
      </c>
      <c r="E594" s="12">
        <v>44375</v>
      </c>
      <c r="F594" s="31">
        <v>340.95</v>
      </c>
      <c r="G594" s="13">
        <v>5</v>
      </c>
      <c r="H594" s="31">
        <f t="shared" si="9"/>
        <v>1704.75</v>
      </c>
    </row>
    <row r="595" spans="1:8" x14ac:dyDescent="0.3">
      <c r="A595" s="9" t="s">
        <v>2</v>
      </c>
      <c r="B595" s="10" t="s">
        <v>24</v>
      </c>
      <c r="C595" s="11" t="s">
        <v>14</v>
      </c>
      <c r="D595" s="10" t="s">
        <v>18</v>
      </c>
      <c r="E595" s="12">
        <v>43944</v>
      </c>
      <c r="F595" s="31">
        <v>79.989999999999995</v>
      </c>
      <c r="G595" s="13">
        <v>11</v>
      </c>
      <c r="H595" s="31">
        <f t="shared" si="9"/>
        <v>879.89</v>
      </c>
    </row>
    <row r="596" spans="1:8" x14ac:dyDescent="0.3">
      <c r="A596" s="17" t="s">
        <v>10</v>
      </c>
      <c r="B596" s="10" t="s">
        <v>23</v>
      </c>
      <c r="C596" s="11" t="s">
        <v>16</v>
      </c>
      <c r="D596" s="10" t="s">
        <v>19</v>
      </c>
      <c r="E596" s="12">
        <v>44310</v>
      </c>
      <c r="F596" s="31">
        <v>340.95</v>
      </c>
      <c r="G596" s="13">
        <v>2</v>
      </c>
      <c r="H596" s="31">
        <f t="shared" si="9"/>
        <v>681.9</v>
      </c>
    </row>
    <row r="597" spans="1:8" x14ac:dyDescent="0.3">
      <c r="A597" s="9" t="s">
        <v>3</v>
      </c>
      <c r="B597" s="10" t="s">
        <v>27</v>
      </c>
      <c r="C597" s="11" t="s">
        <v>15</v>
      </c>
      <c r="D597" s="10" t="s">
        <v>21</v>
      </c>
      <c r="E597" s="12">
        <v>44179</v>
      </c>
      <c r="F597" s="31">
        <v>799.95</v>
      </c>
      <c r="G597" s="13">
        <v>7</v>
      </c>
      <c r="H597" s="31">
        <f t="shared" si="9"/>
        <v>5599.6500000000005</v>
      </c>
    </row>
    <row r="598" spans="1:8" x14ac:dyDescent="0.3">
      <c r="A598" s="17" t="s">
        <v>12</v>
      </c>
      <c r="B598" s="10" t="s">
        <v>24</v>
      </c>
      <c r="C598" s="11" t="s">
        <v>15</v>
      </c>
      <c r="D598" s="10" t="s">
        <v>20</v>
      </c>
      <c r="E598" s="12">
        <v>44384</v>
      </c>
      <c r="F598" s="31">
        <v>79.989999999999995</v>
      </c>
      <c r="G598" s="13">
        <v>15</v>
      </c>
      <c r="H598" s="31">
        <f t="shared" si="9"/>
        <v>1199.8499999999999</v>
      </c>
    </row>
    <row r="599" spans="1:8" x14ac:dyDescent="0.3">
      <c r="A599" s="9" t="s">
        <v>3</v>
      </c>
      <c r="B599" s="10" t="s">
        <v>25</v>
      </c>
      <c r="C599" s="11" t="s">
        <v>15</v>
      </c>
      <c r="D599" s="10" t="s">
        <v>20</v>
      </c>
      <c r="E599" s="12">
        <v>44029</v>
      </c>
      <c r="F599" s="31">
        <v>340.95</v>
      </c>
      <c r="G599" s="13">
        <v>2</v>
      </c>
      <c r="H599" s="31">
        <f t="shared" si="9"/>
        <v>681.9</v>
      </c>
    </row>
    <row r="600" spans="1:8" x14ac:dyDescent="0.3">
      <c r="A600" s="9" t="s">
        <v>3</v>
      </c>
      <c r="B600" s="10" t="s">
        <v>25</v>
      </c>
      <c r="C600" s="11" t="s">
        <v>15</v>
      </c>
      <c r="D600" s="10" t="s">
        <v>18</v>
      </c>
      <c r="E600" s="12">
        <v>43867</v>
      </c>
      <c r="F600" s="31">
        <v>340.95</v>
      </c>
      <c r="G600" s="13">
        <v>15</v>
      </c>
      <c r="H600" s="31">
        <f t="shared" si="9"/>
        <v>5114.25</v>
      </c>
    </row>
    <row r="601" spans="1:8" x14ac:dyDescent="0.3">
      <c r="A601" s="9" t="s">
        <v>9</v>
      </c>
      <c r="B601" s="10" t="s">
        <v>23</v>
      </c>
      <c r="C601" s="11" t="s">
        <v>15</v>
      </c>
      <c r="D601" s="10" t="s">
        <v>20</v>
      </c>
      <c r="E601" s="12">
        <v>44170</v>
      </c>
      <c r="F601" s="31">
        <v>340.95</v>
      </c>
      <c r="G601" s="13">
        <v>13</v>
      </c>
      <c r="H601" s="31">
        <f t="shared" si="9"/>
        <v>4432.3499999999995</v>
      </c>
    </row>
    <row r="602" spans="1:8" x14ac:dyDescent="0.3">
      <c r="A602" s="17" t="s">
        <v>11</v>
      </c>
      <c r="B602" s="10" t="s">
        <v>27</v>
      </c>
      <c r="C602" s="11" t="s">
        <v>14</v>
      </c>
      <c r="D602" s="10" t="s">
        <v>22</v>
      </c>
      <c r="E602" s="12">
        <v>44469</v>
      </c>
      <c r="F602" s="31">
        <v>799.95</v>
      </c>
      <c r="G602" s="13">
        <v>15</v>
      </c>
      <c r="H602" s="31">
        <f t="shared" si="9"/>
        <v>11999.25</v>
      </c>
    </row>
    <row r="603" spans="1:8" x14ac:dyDescent="0.3">
      <c r="A603" s="9" t="s">
        <v>13</v>
      </c>
      <c r="B603" s="10" t="s">
        <v>27</v>
      </c>
      <c r="C603" s="11" t="s">
        <v>16</v>
      </c>
      <c r="D603" s="10" t="s">
        <v>18</v>
      </c>
      <c r="E603" s="12">
        <v>44212</v>
      </c>
      <c r="F603" s="31">
        <v>799.95</v>
      </c>
      <c r="G603" s="13">
        <v>6</v>
      </c>
      <c r="H603" s="31">
        <f t="shared" si="9"/>
        <v>4799.7000000000007</v>
      </c>
    </row>
    <row r="604" spans="1:8" x14ac:dyDescent="0.3">
      <c r="A604" s="9" t="s">
        <v>7</v>
      </c>
      <c r="B604" s="10" t="s">
        <v>27</v>
      </c>
      <c r="C604" s="11" t="s">
        <v>17</v>
      </c>
      <c r="D604" s="10" t="s">
        <v>20</v>
      </c>
      <c r="E604" s="12">
        <v>44010</v>
      </c>
      <c r="F604" s="31">
        <v>799.95</v>
      </c>
      <c r="G604" s="13">
        <v>14</v>
      </c>
      <c r="H604" s="31">
        <f t="shared" si="9"/>
        <v>11199.300000000001</v>
      </c>
    </row>
    <row r="605" spans="1:8" x14ac:dyDescent="0.3">
      <c r="A605" s="9" t="s">
        <v>7</v>
      </c>
      <c r="B605" s="10" t="s">
        <v>27</v>
      </c>
      <c r="C605" s="11" t="s">
        <v>17</v>
      </c>
      <c r="D605" s="10" t="s">
        <v>19</v>
      </c>
      <c r="E605" s="12">
        <v>44477</v>
      </c>
      <c r="F605" s="31">
        <v>799.95</v>
      </c>
      <c r="G605" s="13">
        <v>15</v>
      </c>
      <c r="H605" s="31">
        <f t="shared" si="9"/>
        <v>11999.25</v>
      </c>
    </row>
    <row r="606" spans="1:8" x14ac:dyDescent="0.3">
      <c r="A606" s="17" t="s">
        <v>4</v>
      </c>
      <c r="B606" s="10" t="s">
        <v>24</v>
      </c>
      <c r="C606" s="11" t="s">
        <v>14</v>
      </c>
      <c r="D606" s="10" t="s">
        <v>21</v>
      </c>
      <c r="E606" s="12">
        <v>44118</v>
      </c>
      <c r="F606" s="31">
        <v>79.989999999999995</v>
      </c>
      <c r="G606" s="13">
        <v>1</v>
      </c>
      <c r="H606" s="31">
        <f t="shared" si="9"/>
        <v>79.989999999999995</v>
      </c>
    </row>
    <row r="607" spans="1:8" x14ac:dyDescent="0.3">
      <c r="A607" s="9" t="s">
        <v>13</v>
      </c>
      <c r="B607" s="10" t="s">
        <v>26</v>
      </c>
      <c r="C607" s="11" t="s">
        <v>16</v>
      </c>
      <c r="D607" s="10" t="s">
        <v>19</v>
      </c>
      <c r="E607" s="12">
        <v>44436</v>
      </c>
      <c r="F607" s="31">
        <v>168.95</v>
      </c>
      <c r="G607" s="13">
        <v>13</v>
      </c>
      <c r="H607" s="31">
        <f t="shared" si="9"/>
        <v>2196.35</v>
      </c>
    </row>
    <row r="608" spans="1:8" x14ac:dyDescent="0.3">
      <c r="A608" s="9" t="s">
        <v>3</v>
      </c>
      <c r="B608" s="10" t="s">
        <v>26</v>
      </c>
      <c r="C608" s="11" t="s">
        <v>15</v>
      </c>
      <c r="D608" s="10" t="s">
        <v>18</v>
      </c>
      <c r="E608" s="12">
        <v>44508</v>
      </c>
      <c r="F608" s="31">
        <v>168.95</v>
      </c>
      <c r="G608" s="13">
        <v>9</v>
      </c>
      <c r="H608" s="31">
        <f t="shared" si="9"/>
        <v>1520.55</v>
      </c>
    </row>
    <row r="609" spans="1:8" x14ac:dyDescent="0.3">
      <c r="A609" s="9" t="s">
        <v>9</v>
      </c>
      <c r="B609" s="10" t="s">
        <v>24</v>
      </c>
      <c r="C609" s="11" t="s">
        <v>15</v>
      </c>
      <c r="D609" s="10" t="s">
        <v>18</v>
      </c>
      <c r="E609" s="12">
        <v>44147</v>
      </c>
      <c r="F609" s="31">
        <v>79.989999999999995</v>
      </c>
      <c r="G609" s="13">
        <v>10</v>
      </c>
      <c r="H609" s="31">
        <f t="shared" si="9"/>
        <v>799.9</v>
      </c>
    </row>
    <row r="610" spans="1:8" x14ac:dyDescent="0.3">
      <c r="A610" s="17" t="s">
        <v>10</v>
      </c>
      <c r="B610" s="10" t="s">
        <v>25</v>
      </c>
      <c r="C610" s="11" t="s">
        <v>16</v>
      </c>
      <c r="D610" s="10" t="s">
        <v>21</v>
      </c>
      <c r="E610" s="12">
        <v>44406</v>
      </c>
      <c r="F610" s="31">
        <v>340.95</v>
      </c>
      <c r="G610" s="13">
        <v>9</v>
      </c>
      <c r="H610" s="31">
        <f t="shared" si="9"/>
        <v>3068.5499999999997</v>
      </c>
    </row>
    <row r="611" spans="1:8" x14ac:dyDescent="0.3">
      <c r="A611" s="9" t="s">
        <v>3</v>
      </c>
      <c r="B611" s="10" t="s">
        <v>27</v>
      </c>
      <c r="C611" s="11" t="s">
        <v>15</v>
      </c>
      <c r="D611" s="10" t="s">
        <v>19</v>
      </c>
      <c r="E611" s="12">
        <v>44161</v>
      </c>
      <c r="F611" s="31">
        <v>799.95</v>
      </c>
      <c r="G611" s="13">
        <v>14</v>
      </c>
      <c r="H611" s="31">
        <f t="shared" si="9"/>
        <v>11199.300000000001</v>
      </c>
    </row>
    <row r="612" spans="1:8" x14ac:dyDescent="0.3">
      <c r="A612" s="17" t="s">
        <v>10</v>
      </c>
      <c r="B612" s="10" t="s">
        <v>26</v>
      </c>
      <c r="C612" s="11" t="s">
        <v>16</v>
      </c>
      <c r="D612" s="10" t="s">
        <v>21</v>
      </c>
      <c r="E612" s="12">
        <v>44448</v>
      </c>
      <c r="F612" s="31">
        <v>168.95</v>
      </c>
      <c r="G612" s="13">
        <v>1</v>
      </c>
      <c r="H612" s="31">
        <f t="shared" si="9"/>
        <v>168.95</v>
      </c>
    </row>
    <row r="613" spans="1:8" x14ac:dyDescent="0.3">
      <c r="A613" s="17" t="s">
        <v>12</v>
      </c>
      <c r="B613" s="10" t="s">
        <v>23</v>
      </c>
      <c r="C613" s="11" t="s">
        <v>15</v>
      </c>
      <c r="D613" s="10" t="s">
        <v>22</v>
      </c>
      <c r="E613" s="12">
        <v>43941</v>
      </c>
      <c r="F613" s="31">
        <v>340.95</v>
      </c>
      <c r="G613" s="13">
        <v>5</v>
      </c>
      <c r="H613" s="31">
        <f t="shared" si="9"/>
        <v>1704.75</v>
      </c>
    </row>
    <row r="614" spans="1:8" x14ac:dyDescent="0.3">
      <c r="A614" s="9" t="s">
        <v>13</v>
      </c>
      <c r="B614" s="10" t="s">
        <v>23</v>
      </c>
      <c r="C614" s="11" t="s">
        <v>16</v>
      </c>
      <c r="D614" s="10" t="s">
        <v>21</v>
      </c>
      <c r="E614" s="12">
        <v>44515</v>
      </c>
      <c r="F614" s="31">
        <v>340.95</v>
      </c>
      <c r="G614" s="13">
        <v>2</v>
      </c>
      <c r="H614" s="31">
        <f t="shared" si="9"/>
        <v>681.9</v>
      </c>
    </row>
    <row r="615" spans="1:8" x14ac:dyDescent="0.3">
      <c r="A615" s="17" t="s">
        <v>10</v>
      </c>
      <c r="B615" s="10" t="s">
        <v>25</v>
      </c>
      <c r="C615" s="11" t="s">
        <v>16</v>
      </c>
      <c r="D615" s="10" t="s">
        <v>22</v>
      </c>
      <c r="E615" s="12">
        <v>44387</v>
      </c>
      <c r="F615" s="31">
        <v>340.95</v>
      </c>
      <c r="G615" s="13">
        <v>6</v>
      </c>
      <c r="H615" s="31">
        <f t="shared" si="9"/>
        <v>2045.6999999999998</v>
      </c>
    </row>
    <row r="616" spans="1:8" x14ac:dyDescent="0.3">
      <c r="A616" s="9" t="s">
        <v>13</v>
      </c>
      <c r="B616" s="10" t="s">
        <v>23</v>
      </c>
      <c r="C616" s="11" t="s">
        <v>16</v>
      </c>
      <c r="D616" s="10" t="s">
        <v>22</v>
      </c>
      <c r="E616" s="12">
        <v>44442</v>
      </c>
      <c r="F616" s="31">
        <v>340.95</v>
      </c>
      <c r="G616" s="13">
        <v>10</v>
      </c>
      <c r="H616" s="31">
        <f t="shared" si="9"/>
        <v>3409.5</v>
      </c>
    </row>
    <row r="617" spans="1:8" x14ac:dyDescent="0.3">
      <c r="A617" s="9" t="s">
        <v>2</v>
      </c>
      <c r="B617" s="10" t="s">
        <v>25</v>
      </c>
      <c r="C617" s="11" t="s">
        <v>14</v>
      </c>
      <c r="D617" s="10" t="s">
        <v>18</v>
      </c>
      <c r="E617" s="12">
        <v>43867</v>
      </c>
      <c r="F617" s="31">
        <v>340.95</v>
      </c>
      <c r="G617" s="13">
        <v>7</v>
      </c>
      <c r="H617" s="31">
        <f t="shared" si="9"/>
        <v>2386.65</v>
      </c>
    </row>
    <row r="618" spans="1:8" x14ac:dyDescent="0.3">
      <c r="A618" s="9" t="s">
        <v>13</v>
      </c>
      <c r="B618" s="10" t="s">
        <v>27</v>
      </c>
      <c r="C618" s="11" t="s">
        <v>16</v>
      </c>
      <c r="D618" s="10" t="s">
        <v>22</v>
      </c>
      <c r="E618" s="12">
        <v>44388</v>
      </c>
      <c r="F618" s="31">
        <v>799.95</v>
      </c>
      <c r="G618" s="13">
        <v>7</v>
      </c>
      <c r="H618" s="31">
        <f t="shared" si="9"/>
        <v>5599.6500000000005</v>
      </c>
    </row>
    <row r="619" spans="1:8" x14ac:dyDescent="0.3">
      <c r="A619" s="17" t="s">
        <v>6</v>
      </c>
      <c r="B619" s="10" t="s">
        <v>24</v>
      </c>
      <c r="C619" s="11" t="s">
        <v>14</v>
      </c>
      <c r="D619" s="10" t="s">
        <v>18</v>
      </c>
      <c r="E619" s="12">
        <v>44214</v>
      </c>
      <c r="F619" s="31">
        <v>79.989999999999995</v>
      </c>
      <c r="G619" s="13">
        <v>8</v>
      </c>
      <c r="H619" s="31">
        <f t="shared" si="9"/>
        <v>639.91999999999996</v>
      </c>
    </row>
    <row r="620" spans="1:8" x14ac:dyDescent="0.3">
      <c r="A620" s="17" t="s">
        <v>8</v>
      </c>
      <c r="B620" s="10" t="s">
        <v>26</v>
      </c>
      <c r="C620" s="11" t="s">
        <v>17</v>
      </c>
      <c r="D620" s="10" t="s">
        <v>22</v>
      </c>
      <c r="E620" s="12">
        <v>44536</v>
      </c>
      <c r="F620" s="31">
        <v>168.95</v>
      </c>
      <c r="G620" s="13">
        <v>15</v>
      </c>
      <c r="H620" s="31">
        <f t="shared" si="9"/>
        <v>2534.25</v>
      </c>
    </row>
    <row r="621" spans="1:8" x14ac:dyDescent="0.3">
      <c r="A621" s="9" t="s">
        <v>5</v>
      </c>
      <c r="B621" s="10" t="s">
        <v>25</v>
      </c>
      <c r="C621" s="11" t="s">
        <v>16</v>
      </c>
      <c r="D621" s="10" t="s">
        <v>21</v>
      </c>
      <c r="E621" s="12">
        <v>44028</v>
      </c>
      <c r="F621" s="31">
        <v>340.95</v>
      </c>
      <c r="G621" s="13">
        <v>6</v>
      </c>
      <c r="H621" s="31">
        <f t="shared" si="9"/>
        <v>2045.6999999999998</v>
      </c>
    </row>
    <row r="622" spans="1:8" x14ac:dyDescent="0.3">
      <c r="A622" s="17" t="s">
        <v>8</v>
      </c>
      <c r="B622" s="10" t="s">
        <v>27</v>
      </c>
      <c r="C622" s="11" t="s">
        <v>17</v>
      </c>
      <c r="D622" s="10" t="s">
        <v>22</v>
      </c>
      <c r="E622" s="12">
        <v>43841</v>
      </c>
      <c r="F622" s="31">
        <v>799.95</v>
      </c>
      <c r="G622" s="13">
        <v>2</v>
      </c>
      <c r="H622" s="31">
        <f t="shared" si="9"/>
        <v>1599.9</v>
      </c>
    </row>
    <row r="623" spans="1:8" x14ac:dyDescent="0.3">
      <c r="A623" s="17" t="s">
        <v>8</v>
      </c>
      <c r="B623" s="10" t="s">
        <v>26</v>
      </c>
      <c r="C623" s="11" t="s">
        <v>17</v>
      </c>
      <c r="D623" s="10" t="s">
        <v>20</v>
      </c>
      <c r="E623" s="12">
        <v>44102</v>
      </c>
      <c r="F623" s="31">
        <v>168.95</v>
      </c>
      <c r="G623" s="13">
        <v>4</v>
      </c>
      <c r="H623" s="31">
        <f t="shared" si="9"/>
        <v>675.8</v>
      </c>
    </row>
    <row r="624" spans="1:8" x14ac:dyDescent="0.3">
      <c r="A624" s="17" t="s">
        <v>10</v>
      </c>
      <c r="B624" s="10" t="s">
        <v>23</v>
      </c>
      <c r="C624" s="11" t="s">
        <v>16</v>
      </c>
      <c r="D624" s="10" t="s">
        <v>19</v>
      </c>
      <c r="E624" s="12">
        <v>44094</v>
      </c>
      <c r="F624" s="31">
        <v>340.95</v>
      </c>
      <c r="G624" s="13">
        <v>15</v>
      </c>
      <c r="H624" s="31">
        <f t="shared" si="9"/>
        <v>5114.25</v>
      </c>
    </row>
    <row r="625" spans="1:8" x14ac:dyDescent="0.3">
      <c r="A625" s="9" t="s">
        <v>13</v>
      </c>
      <c r="B625" s="10" t="s">
        <v>24</v>
      </c>
      <c r="C625" s="11" t="s">
        <v>16</v>
      </c>
      <c r="D625" s="10" t="s">
        <v>22</v>
      </c>
      <c r="E625" s="12">
        <v>43863</v>
      </c>
      <c r="F625" s="31">
        <v>79.989999999999995</v>
      </c>
      <c r="G625" s="13">
        <v>5</v>
      </c>
      <c r="H625" s="31">
        <f t="shared" si="9"/>
        <v>399.95</v>
      </c>
    </row>
    <row r="626" spans="1:8" x14ac:dyDescent="0.3">
      <c r="A626" s="17" t="s">
        <v>12</v>
      </c>
      <c r="B626" s="10" t="s">
        <v>26</v>
      </c>
      <c r="C626" s="11" t="s">
        <v>15</v>
      </c>
      <c r="D626" s="10" t="s">
        <v>18</v>
      </c>
      <c r="E626" s="12">
        <v>44151</v>
      </c>
      <c r="F626" s="31">
        <v>168.95</v>
      </c>
      <c r="G626" s="13">
        <v>15</v>
      </c>
      <c r="H626" s="31">
        <f t="shared" si="9"/>
        <v>2534.25</v>
      </c>
    </row>
    <row r="627" spans="1:8" x14ac:dyDescent="0.3">
      <c r="A627" s="17" t="s">
        <v>11</v>
      </c>
      <c r="B627" s="10" t="s">
        <v>27</v>
      </c>
      <c r="C627" s="11" t="s">
        <v>14</v>
      </c>
      <c r="D627" s="10" t="s">
        <v>21</v>
      </c>
      <c r="E627" s="12">
        <v>43880</v>
      </c>
      <c r="F627" s="31">
        <v>799.95</v>
      </c>
      <c r="G627" s="13">
        <v>9</v>
      </c>
      <c r="H627" s="31">
        <f t="shared" si="9"/>
        <v>7199.55</v>
      </c>
    </row>
    <row r="628" spans="1:8" x14ac:dyDescent="0.3">
      <c r="A628" s="17" t="s">
        <v>8</v>
      </c>
      <c r="B628" s="10" t="s">
        <v>25</v>
      </c>
      <c r="C628" s="11" t="s">
        <v>17</v>
      </c>
      <c r="D628" s="10" t="s">
        <v>20</v>
      </c>
      <c r="E628" s="12">
        <v>44212</v>
      </c>
      <c r="F628" s="31">
        <v>340.95</v>
      </c>
      <c r="G628" s="13">
        <v>13</v>
      </c>
      <c r="H628" s="31">
        <f t="shared" si="9"/>
        <v>4432.3499999999995</v>
      </c>
    </row>
    <row r="629" spans="1:8" x14ac:dyDescent="0.3">
      <c r="A629" s="9" t="s">
        <v>13</v>
      </c>
      <c r="B629" s="10" t="s">
        <v>26</v>
      </c>
      <c r="C629" s="11" t="s">
        <v>16</v>
      </c>
      <c r="D629" s="10" t="s">
        <v>21</v>
      </c>
      <c r="E629" s="12">
        <v>44007</v>
      </c>
      <c r="F629" s="31">
        <v>168.95</v>
      </c>
      <c r="G629" s="13">
        <v>5</v>
      </c>
      <c r="H629" s="31">
        <f t="shared" si="9"/>
        <v>844.75</v>
      </c>
    </row>
    <row r="630" spans="1:8" x14ac:dyDescent="0.3">
      <c r="A630" s="17" t="s">
        <v>8</v>
      </c>
      <c r="B630" s="10" t="s">
        <v>24</v>
      </c>
      <c r="C630" s="11" t="s">
        <v>17</v>
      </c>
      <c r="D630" s="10" t="s">
        <v>22</v>
      </c>
      <c r="E630" s="12">
        <v>44197</v>
      </c>
      <c r="F630" s="31">
        <v>79.989999999999995</v>
      </c>
      <c r="G630" s="13">
        <v>11</v>
      </c>
      <c r="H630" s="31">
        <f t="shared" si="9"/>
        <v>879.89</v>
      </c>
    </row>
    <row r="631" spans="1:8" x14ac:dyDescent="0.3">
      <c r="A631" s="9" t="s">
        <v>2</v>
      </c>
      <c r="B631" s="10" t="s">
        <v>26</v>
      </c>
      <c r="C631" s="11" t="s">
        <v>14</v>
      </c>
      <c r="D631" s="10" t="s">
        <v>19</v>
      </c>
      <c r="E631" s="12">
        <v>44323</v>
      </c>
      <c r="F631" s="31">
        <v>168.95</v>
      </c>
      <c r="G631" s="13">
        <v>3</v>
      </c>
      <c r="H631" s="31">
        <f t="shared" si="9"/>
        <v>506.84999999999997</v>
      </c>
    </row>
    <row r="632" spans="1:8" x14ac:dyDescent="0.3">
      <c r="A632" s="17" t="s">
        <v>4</v>
      </c>
      <c r="B632" s="10" t="s">
        <v>25</v>
      </c>
      <c r="C632" s="11" t="s">
        <v>14</v>
      </c>
      <c r="D632" s="10" t="s">
        <v>22</v>
      </c>
      <c r="E632" s="12">
        <v>44032</v>
      </c>
      <c r="F632" s="31">
        <v>340.95</v>
      </c>
      <c r="G632" s="13">
        <v>13</v>
      </c>
      <c r="H632" s="31">
        <f t="shared" si="9"/>
        <v>4432.3499999999995</v>
      </c>
    </row>
    <row r="633" spans="1:8" x14ac:dyDescent="0.3">
      <c r="A633" s="9" t="s">
        <v>3</v>
      </c>
      <c r="B633" s="10" t="s">
        <v>24</v>
      </c>
      <c r="C633" s="11" t="s">
        <v>15</v>
      </c>
      <c r="D633" s="10" t="s">
        <v>18</v>
      </c>
      <c r="E633" s="12">
        <v>43880</v>
      </c>
      <c r="F633" s="31">
        <v>79.989999999999995</v>
      </c>
      <c r="G633" s="13">
        <v>20</v>
      </c>
      <c r="H633" s="31">
        <f t="shared" si="9"/>
        <v>1599.8</v>
      </c>
    </row>
    <row r="634" spans="1:8" x14ac:dyDescent="0.3">
      <c r="A634" s="9" t="s">
        <v>13</v>
      </c>
      <c r="B634" s="10" t="s">
        <v>25</v>
      </c>
      <c r="C634" s="11" t="s">
        <v>16</v>
      </c>
      <c r="D634" s="10" t="s">
        <v>19</v>
      </c>
      <c r="E634" s="12">
        <v>44335</v>
      </c>
      <c r="F634" s="31">
        <v>340.95</v>
      </c>
      <c r="G634" s="13">
        <v>8</v>
      </c>
      <c r="H634" s="31">
        <f t="shared" si="9"/>
        <v>2727.6</v>
      </c>
    </row>
    <row r="635" spans="1:8" x14ac:dyDescent="0.3">
      <c r="A635" s="9" t="s">
        <v>7</v>
      </c>
      <c r="B635" s="10" t="s">
        <v>26</v>
      </c>
      <c r="C635" s="11" t="s">
        <v>17</v>
      </c>
      <c r="D635" s="10" t="s">
        <v>21</v>
      </c>
      <c r="E635" s="12">
        <v>44210</v>
      </c>
      <c r="F635" s="31">
        <v>168.95</v>
      </c>
      <c r="G635" s="13">
        <v>15</v>
      </c>
      <c r="H635" s="31">
        <f t="shared" si="9"/>
        <v>2534.25</v>
      </c>
    </row>
    <row r="636" spans="1:8" x14ac:dyDescent="0.3">
      <c r="A636" s="17" t="s">
        <v>10</v>
      </c>
      <c r="B636" s="10" t="s">
        <v>23</v>
      </c>
      <c r="C636" s="11" t="s">
        <v>16</v>
      </c>
      <c r="D636" s="10" t="s">
        <v>21</v>
      </c>
      <c r="E636" s="12">
        <v>44298</v>
      </c>
      <c r="F636" s="31">
        <v>340.95</v>
      </c>
      <c r="G636" s="13">
        <v>7</v>
      </c>
      <c r="H636" s="31">
        <f t="shared" si="9"/>
        <v>2386.65</v>
      </c>
    </row>
    <row r="637" spans="1:8" x14ac:dyDescent="0.3">
      <c r="A637" s="9" t="s">
        <v>2</v>
      </c>
      <c r="B637" s="10" t="s">
        <v>24</v>
      </c>
      <c r="C637" s="11" t="s">
        <v>14</v>
      </c>
      <c r="D637" s="10" t="s">
        <v>19</v>
      </c>
      <c r="E637" s="12">
        <v>44322</v>
      </c>
      <c r="F637" s="31">
        <v>79.989999999999995</v>
      </c>
      <c r="G637" s="13">
        <v>11</v>
      </c>
      <c r="H637" s="31">
        <f t="shared" si="9"/>
        <v>879.89</v>
      </c>
    </row>
    <row r="638" spans="1:8" x14ac:dyDescent="0.3">
      <c r="A638" s="9" t="s">
        <v>3</v>
      </c>
      <c r="B638" s="10" t="s">
        <v>27</v>
      </c>
      <c r="C638" s="11" t="s">
        <v>15</v>
      </c>
      <c r="D638" s="10" t="s">
        <v>18</v>
      </c>
      <c r="E638" s="12">
        <v>44553</v>
      </c>
      <c r="F638" s="31">
        <v>799.95</v>
      </c>
      <c r="G638" s="13">
        <v>9</v>
      </c>
      <c r="H638" s="31">
        <f t="shared" si="9"/>
        <v>7199.55</v>
      </c>
    </row>
    <row r="639" spans="1:8" x14ac:dyDescent="0.3">
      <c r="A639" s="17" t="s">
        <v>12</v>
      </c>
      <c r="B639" s="10" t="s">
        <v>27</v>
      </c>
      <c r="C639" s="11" t="s">
        <v>15</v>
      </c>
      <c r="D639" s="10" t="s">
        <v>21</v>
      </c>
      <c r="E639" s="12">
        <v>43906</v>
      </c>
      <c r="F639" s="31">
        <v>799.95</v>
      </c>
      <c r="G639" s="13">
        <v>11</v>
      </c>
      <c r="H639" s="31">
        <f t="shared" si="9"/>
        <v>8799.4500000000007</v>
      </c>
    </row>
    <row r="640" spans="1:8" x14ac:dyDescent="0.3">
      <c r="A640" s="9" t="s">
        <v>13</v>
      </c>
      <c r="B640" s="10" t="s">
        <v>23</v>
      </c>
      <c r="C640" s="11" t="s">
        <v>16</v>
      </c>
      <c r="D640" s="10" t="s">
        <v>22</v>
      </c>
      <c r="E640" s="12">
        <v>44441</v>
      </c>
      <c r="F640" s="31">
        <v>340.95</v>
      </c>
      <c r="G640" s="13">
        <v>5</v>
      </c>
      <c r="H640" s="31">
        <f t="shared" si="9"/>
        <v>1704.75</v>
      </c>
    </row>
    <row r="641" spans="1:8" x14ac:dyDescent="0.3">
      <c r="A641" s="17" t="s">
        <v>4</v>
      </c>
      <c r="B641" s="10" t="s">
        <v>23</v>
      </c>
      <c r="C641" s="11" t="s">
        <v>14</v>
      </c>
      <c r="D641" s="10" t="s">
        <v>18</v>
      </c>
      <c r="E641" s="12">
        <v>44298</v>
      </c>
      <c r="F641" s="31">
        <v>340.95</v>
      </c>
      <c r="G641" s="13">
        <v>15</v>
      </c>
      <c r="H641" s="31">
        <f t="shared" si="9"/>
        <v>5114.25</v>
      </c>
    </row>
    <row r="642" spans="1:8" x14ac:dyDescent="0.3">
      <c r="A642" s="17" t="s">
        <v>10</v>
      </c>
      <c r="B642" s="10" t="s">
        <v>23</v>
      </c>
      <c r="C642" s="11" t="s">
        <v>16</v>
      </c>
      <c r="D642" s="10" t="s">
        <v>22</v>
      </c>
      <c r="E642" s="12">
        <v>44360</v>
      </c>
      <c r="F642" s="31">
        <v>340.95</v>
      </c>
      <c r="G642" s="13">
        <v>11</v>
      </c>
      <c r="H642" s="31">
        <f t="shared" ref="H642:H705" si="10">F642*G642</f>
        <v>3750.45</v>
      </c>
    </row>
    <row r="643" spans="1:8" x14ac:dyDescent="0.3">
      <c r="A643" s="17" t="s">
        <v>12</v>
      </c>
      <c r="B643" s="10" t="s">
        <v>24</v>
      </c>
      <c r="C643" s="11" t="s">
        <v>15</v>
      </c>
      <c r="D643" s="10" t="s">
        <v>18</v>
      </c>
      <c r="E643" s="12">
        <v>43880</v>
      </c>
      <c r="F643" s="31">
        <v>79.989999999999995</v>
      </c>
      <c r="G643" s="13">
        <v>15</v>
      </c>
      <c r="H643" s="31">
        <f t="shared" si="10"/>
        <v>1199.8499999999999</v>
      </c>
    </row>
    <row r="644" spans="1:8" x14ac:dyDescent="0.3">
      <c r="A644" s="9" t="s">
        <v>3</v>
      </c>
      <c r="B644" s="10" t="s">
        <v>24</v>
      </c>
      <c r="C644" s="11" t="s">
        <v>15</v>
      </c>
      <c r="D644" s="10" t="s">
        <v>18</v>
      </c>
      <c r="E644" s="12">
        <v>43873</v>
      </c>
      <c r="F644" s="31">
        <v>79.989999999999995</v>
      </c>
      <c r="G644" s="13">
        <v>8</v>
      </c>
      <c r="H644" s="31">
        <f t="shared" si="10"/>
        <v>639.91999999999996</v>
      </c>
    </row>
    <row r="645" spans="1:8" x14ac:dyDescent="0.3">
      <c r="A645" s="9" t="s">
        <v>3</v>
      </c>
      <c r="B645" s="10" t="s">
        <v>23</v>
      </c>
      <c r="C645" s="11" t="s">
        <v>15</v>
      </c>
      <c r="D645" s="10" t="s">
        <v>18</v>
      </c>
      <c r="E645" s="12">
        <v>44160</v>
      </c>
      <c r="F645" s="31">
        <v>340.95</v>
      </c>
      <c r="G645" s="13">
        <v>8</v>
      </c>
      <c r="H645" s="31">
        <f t="shared" si="10"/>
        <v>2727.6</v>
      </c>
    </row>
    <row r="646" spans="1:8" x14ac:dyDescent="0.3">
      <c r="A646" s="9" t="s">
        <v>7</v>
      </c>
      <c r="B646" s="10" t="s">
        <v>26</v>
      </c>
      <c r="C646" s="11" t="s">
        <v>17</v>
      </c>
      <c r="D646" s="10" t="s">
        <v>19</v>
      </c>
      <c r="E646" s="12">
        <v>44468</v>
      </c>
      <c r="F646" s="31">
        <v>168.95</v>
      </c>
      <c r="G646" s="13">
        <v>10</v>
      </c>
      <c r="H646" s="31">
        <f t="shared" si="10"/>
        <v>1689.5</v>
      </c>
    </row>
    <row r="647" spans="1:8" x14ac:dyDescent="0.3">
      <c r="A647" s="17" t="s">
        <v>10</v>
      </c>
      <c r="B647" s="10" t="s">
        <v>25</v>
      </c>
      <c r="C647" s="11" t="s">
        <v>16</v>
      </c>
      <c r="D647" s="10" t="s">
        <v>18</v>
      </c>
      <c r="E647" s="12">
        <v>44416</v>
      </c>
      <c r="F647" s="31">
        <v>340.95</v>
      </c>
      <c r="G647" s="13">
        <v>16</v>
      </c>
      <c r="H647" s="31">
        <f t="shared" si="10"/>
        <v>5455.2</v>
      </c>
    </row>
    <row r="648" spans="1:8" x14ac:dyDescent="0.3">
      <c r="A648" s="9" t="s">
        <v>2</v>
      </c>
      <c r="B648" s="10" t="s">
        <v>24</v>
      </c>
      <c r="C648" s="11" t="s">
        <v>14</v>
      </c>
      <c r="D648" s="10" t="s">
        <v>20</v>
      </c>
      <c r="E648" s="12">
        <v>44127</v>
      </c>
      <c r="F648" s="31">
        <v>79.989999999999995</v>
      </c>
      <c r="G648" s="13">
        <v>12</v>
      </c>
      <c r="H648" s="31">
        <f t="shared" si="10"/>
        <v>959.87999999999988</v>
      </c>
    </row>
    <row r="649" spans="1:8" x14ac:dyDescent="0.3">
      <c r="A649" s="9" t="s">
        <v>3</v>
      </c>
      <c r="B649" s="10" t="s">
        <v>23</v>
      </c>
      <c r="C649" s="11" t="s">
        <v>15</v>
      </c>
      <c r="D649" s="10" t="s">
        <v>20</v>
      </c>
      <c r="E649" s="12">
        <v>44463</v>
      </c>
      <c r="F649" s="31">
        <v>340.95</v>
      </c>
      <c r="G649" s="13">
        <v>10</v>
      </c>
      <c r="H649" s="31">
        <f t="shared" si="10"/>
        <v>3409.5</v>
      </c>
    </row>
    <row r="650" spans="1:8" x14ac:dyDescent="0.3">
      <c r="A650" s="17" t="s">
        <v>8</v>
      </c>
      <c r="B650" s="10" t="s">
        <v>26</v>
      </c>
      <c r="C650" s="11" t="s">
        <v>17</v>
      </c>
      <c r="D650" s="10" t="s">
        <v>19</v>
      </c>
      <c r="E650" s="12">
        <v>44042</v>
      </c>
      <c r="F650" s="31">
        <v>168.95</v>
      </c>
      <c r="G650" s="13">
        <v>8</v>
      </c>
      <c r="H650" s="31">
        <f t="shared" si="10"/>
        <v>1351.6</v>
      </c>
    </row>
    <row r="651" spans="1:8" x14ac:dyDescent="0.3">
      <c r="A651" s="17" t="s">
        <v>6</v>
      </c>
      <c r="B651" s="10" t="s">
        <v>27</v>
      </c>
      <c r="C651" s="11" t="s">
        <v>14</v>
      </c>
      <c r="D651" s="10" t="s">
        <v>19</v>
      </c>
      <c r="E651" s="12">
        <v>44470</v>
      </c>
      <c r="F651" s="31">
        <v>799.95</v>
      </c>
      <c r="G651" s="13">
        <v>11</v>
      </c>
      <c r="H651" s="31">
        <f t="shared" si="10"/>
        <v>8799.4500000000007</v>
      </c>
    </row>
    <row r="652" spans="1:8" x14ac:dyDescent="0.3">
      <c r="A652" s="17" t="s">
        <v>12</v>
      </c>
      <c r="B652" s="10" t="s">
        <v>24</v>
      </c>
      <c r="C652" s="11" t="s">
        <v>15</v>
      </c>
      <c r="D652" s="10" t="s">
        <v>22</v>
      </c>
      <c r="E652" s="12">
        <v>44217</v>
      </c>
      <c r="F652" s="31">
        <v>79.989999999999995</v>
      </c>
      <c r="G652" s="13">
        <v>14</v>
      </c>
      <c r="H652" s="31">
        <f t="shared" si="10"/>
        <v>1119.8599999999999</v>
      </c>
    </row>
    <row r="653" spans="1:8" x14ac:dyDescent="0.3">
      <c r="A653" s="17" t="s">
        <v>4</v>
      </c>
      <c r="B653" s="10" t="s">
        <v>24</v>
      </c>
      <c r="C653" s="11" t="s">
        <v>14</v>
      </c>
      <c r="D653" s="10" t="s">
        <v>22</v>
      </c>
      <c r="E653" s="12">
        <v>44094</v>
      </c>
      <c r="F653" s="31">
        <v>79.989999999999995</v>
      </c>
      <c r="G653" s="13">
        <v>14</v>
      </c>
      <c r="H653" s="31">
        <f t="shared" si="10"/>
        <v>1119.8599999999999</v>
      </c>
    </row>
    <row r="654" spans="1:8" x14ac:dyDescent="0.3">
      <c r="A654" s="9" t="s">
        <v>9</v>
      </c>
      <c r="B654" s="10" t="s">
        <v>24</v>
      </c>
      <c r="C654" s="11" t="s">
        <v>15</v>
      </c>
      <c r="D654" s="10" t="s">
        <v>22</v>
      </c>
      <c r="E654" s="12">
        <v>44157</v>
      </c>
      <c r="F654" s="31">
        <v>79.989999999999995</v>
      </c>
      <c r="G654" s="13">
        <v>11</v>
      </c>
      <c r="H654" s="31">
        <f t="shared" si="10"/>
        <v>879.89</v>
      </c>
    </row>
    <row r="655" spans="1:8" x14ac:dyDescent="0.3">
      <c r="A655" s="9" t="s">
        <v>3</v>
      </c>
      <c r="B655" s="10" t="s">
        <v>24</v>
      </c>
      <c r="C655" s="11" t="s">
        <v>15</v>
      </c>
      <c r="D655" s="10" t="s">
        <v>18</v>
      </c>
      <c r="E655" s="12">
        <v>44069</v>
      </c>
      <c r="F655" s="31">
        <v>79.989999999999995</v>
      </c>
      <c r="G655" s="13">
        <v>12</v>
      </c>
      <c r="H655" s="31">
        <f t="shared" si="10"/>
        <v>959.87999999999988</v>
      </c>
    </row>
    <row r="656" spans="1:8" x14ac:dyDescent="0.3">
      <c r="A656" s="17" t="s">
        <v>6</v>
      </c>
      <c r="B656" s="10" t="s">
        <v>26</v>
      </c>
      <c r="C656" s="11" t="s">
        <v>14</v>
      </c>
      <c r="D656" s="10" t="s">
        <v>20</v>
      </c>
      <c r="E656" s="12">
        <v>44293</v>
      </c>
      <c r="F656" s="31">
        <v>168.95</v>
      </c>
      <c r="G656" s="13">
        <v>9</v>
      </c>
      <c r="H656" s="31">
        <f t="shared" si="10"/>
        <v>1520.55</v>
      </c>
    </row>
    <row r="657" spans="1:8" x14ac:dyDescent="0.3">
      <c r="A657" s="17" t="s">
        <v>11</v>
      </c>
      <c r="B657" s="10" t="s">
        <v>24</v>
      </c>
      <c r="C657" s="11" t="s">
        <v>14</v>
      </c>
      <c r="D657" s="10" t="s">
        <v>22</v>
      </c>
      <c r="E657" s="12">
        <v>44304</v>
      </c>
      <c r="F657" s="31">
        <v>79.989999999999995</v>
      </c>
      <c r="G657" s="13">
        <v>7</v>
      </c>
      <c r="H657" s="31">
        <f t="shared" si="10"/>
        <v>559.92999999999995</v>
      </c>
    </row>
    <row r="658" spans="1:8" x14ac:dyDescent="0.3">
      <c r="A658" s="17" t="s">
        <v>11</v>
      </c>
      <c r="B658" s="10" t="s">
        <v>23</v>
      </c>
      <c r="C658" s="11" t="s">
        <v>14</v>
      </c>
      <c r="D658" s="10" t="s">
        <v>18</v>
      </c>
      <c r="E658" s="12">
        <v>44225</v>
      </c>
      <c r="F658" s="31">
        <v>340.95</v>
      </c>
      <c r="G658" s="13">
        <v>17</v>
      </c>
      <c r="H658" s="31">
        <f t="shared" si="10"/>
        <v>5796.15</v>
      </c>
    </row>
    <row r="659" spans="1:8" x14ac:dyDescent="0.3">
      <c r="A659" s="17" t="s">
        <v>4</v>
      </c>
      <c r="B659" s="10" t="s">
        <v>24</v>
      </c>
      <c r="C659" s="11" t="s">
        <v>14</v>
      </c>
      <c r="D659" s="10" t="s">
        <v>21</v>
      </c>
      <c r="E659" s="12">
        <v>44385</v>
      </c>
      <c r="F659" s="31">
        <v>79.989999999999995</v>
      </c>
      <c r="G659" s="13">
        <v>3</v>
      </c>
      <c r="H659" s="31">
        <f t="shared" si="10"/>
        <v>239.96999999999997</v>
      </c>
    </row>
    <row r="660" spans="1:8" x14ac:dyDescent="0.3">
      <c r="A660" s="17" t="s">
        <v>11</v>
      </c>
      <c r="B660" s="10" t="s">
        <v>26</v>
      </c>
      <c r="C660" s="11" t="s">
        <v>14</v>
      </c>
      <c r="D660" s="10" t="s">
        <v>20</v>
      </c>
      <c r="E660" s="12">
        <v>44238</v>
      </c>
      <c r="F660" s="31">
        <v>168.95</v>
      </c>
      <c r="G660" s="13">
        <v>7</v>
      </c>
      <c r="H660" s="31">
        <f t="shared" si="10"/>
        <v>1182.6499999999999</v>
      </c>
    </row>
    <row r="661" spans="1:8" x14ac:dyDescent="0.3">
      <c r="A661" s="17" t="s">
        <v>6</v>
      </c>
      <c r="B661" s="10" t="s">
        <v>27</v>
      </c>
      <c r="C661" s="11" t="s">
        <v>14</v>
      </c>
      <c r="D661" s="10" t="s">
        <v>18</v>
      </c>
      <c r="E661" s="12">
        <v>44333</v>
      </c>
      <c r="F661" s="31">
        <v>799.95</v>
      </c>
      <c r="G661" s="13">
        <v>14</v>
      </c>
      <c r="H661" s="31">
        <f t="shared" si="10"/>
        <v>11199.300000000001</v>
      </c>
    </row>
    <row r="662" spans="1:8" x14ac:dyDescent="0.3">
      <c r="A662" s="17" t="s">
        <v>8</v>
      </c>
      <c r="B662" s="10" t="s">
        <v>24</v>
      </c>
      <c r="C662" s="11" t="s">
        <v>17</v>
      </c>
      <c r="D662" s="10" t="s">
        <v>21</v>
      </c>
      <c r="E662" s="12">
        <v>44120</v>
      </c>
      <c r="F662" s="31">
        <v>79.989999999999995</v>
      </c>
      <c r="G662" s="13">
        <v>4</v>
      </c>
      <c r="H662" s="31">
        <f t="shared" si="10"/>
        <v>319.95999999999998</v>
      </c>
    </row>
    <row r="663" spans="1:8" x14ac:dyDescent="0.3">
      <c r="A663" s="17" t="s">
        <v>11</v>
      </c>
      <c r="B663" s="10" t="s">
        <v>26</v>
      </c>
      <c r="C663" s="11" t="s">
        <v>14</v>
      </c>
      <c r="D663" s="10" t="s">
        <v>22</v>
      </c>
      <c r="E663" s="12">
        <v>43902</v>
      </c>
      <c r="F663" s="31">
        <v>168.95</v>
      </c>
      <c r="G663" s="13">
        <v>15</v>
      </c>
      <c r="H663" s="31">
        <f t="shared" si="10"/>
        <v>2534.25</v>
      </c>
    </row>
    <row r="664" spans="1:8" x14ac:dyDescent="0.3">
      <c r="A664" s="9" t="s">
        <v>9</v>
      </c>
      <c r="B664" s="10" t="s">
        <v>23</v>
      </c>
      <c r="C664" s="11" t="s">
        <v>15</v>
      </c>
      <c r="D664" s="10" t="s">
        <v>22</v>
      </c>
      <c r="E664" s="12">
        <v>44155</v>
      </c>
      <c r="F664" s="31">
        <v>340.95</v>
      </c>
      <c r="G664" s="13">
        <v>7</v>
      </c>
      <c r="H664" s="31">
        <f t="shared" si="10"/>
        <v>2386.65</v>
      </c>
    </row>
    <row r="665" spans="1:8" x14ac:dyDescent="0.3">
      <c r="A665" s="9" t="s">
        <v>3</v>
      </c>
      <c r="B665" s="10" t="s">
        <v>25</v>
      </c>
      <c r="C665" s="11" t="s">
        <v>15</v>
      </c>
      <c r="D665" s="10" t="s">
        <v>22</v>
      </c>
      <c r="E665" s="12">
        <v>44560</v>
      </c>
      <c r="F665" s="31">
        <v>340.95</v>
      </c>
      <c r="G665" s="13">
        <v>14</v>
      </c>
      <c r="H665" s="31">
        <f t="shared" si="10"/>
        <v>4773.3</v>
      </c>
    </row>
    <row r="666" spans="1:8" x14ac:dyDescent="0.3">
      <c r="A666" s="17" t="s">
        <v>10</v>
      </c>
      <c r="B666" s="10" t="s">
        <v>23</v>
      </c>
      <c r="C666" s="11" t="s">
        <v>16</v>
      </c>
      <c r="D666" s="10" t="s">
        <v>21</v>
      </c>
      <c r="E666" s="12">
        <v>44289</v>
      </c>
      <c r="F666" s="31">
        <v>340.95</v>
      </c>
      <c r="G666" s="13">
        <v>6</v>
      </c>
      <c r="H666" s="31">
        <f t="shared" si="10"/>
        <v>2045.6999999999998</v>
      </c>
    </row>
    <row r="667" spans="1:8" x14ac:dyDescent="0.3">
      <c r="A667" s="9" t="s">
        <v>5</v>
      </c>
      <c r="B667" s="10" t="s">
        <v>25</v>
      </c>
      <c r="C667" s="11" t="s">
        <v>16</v>
      </c>
      <c r="D667" s="10" t="s">
        <v>20</v>
      </c>
      <c r="E667" s="12">
        <v>43923</v>
      </c>
      <c r="F667" s="31">
        <v>340.95</v>
      </c>
      <c r="G667" s="13">
        <v>9</v>
      </c>
      <c r="H667" s="31">
        <f t="shared" si="10"/>
        <v>3068.5499999999997</v>
      </c>
    </row>
    <row r="668" spans="1:8" x14ac:dyDescent="0.3">
      <c r="A668" s="9" t="s">
        <v>5</v>
      </c>
      <c r="B668" s="10" t="s">
        <v>23</v>
      </c>
      <c r="C668" s="11" t="s">
        <v>15</v>
      </c>
      <c r="D668" s="10" t="s">
        <v>22</v>
      </c>
      <c r="E668" s="12">
        <v>44318</v>
      </c>
      <c r="F668" s="31">
        <v>340.95</v>
      </c>
      <c r="G668" s="13">
        <v>4</v>
      </c>
      <c r="H668" s="31">
        <f t="shared" si="10"/>
        <v>1363.8</v>
      </c>
    </row>
    <row r="669" spans="1:8" x14ac:dyDescent="0.3">
      <c r="A669" s="9" t="s">
        <v>13</v>
      </c>
      <c r="B669" s="10" t="s">
        <v>24</v>
      </c>
      <c r="C669" s="11" t="s">
        <v>16</v>
      </c>
      <c r="D669" s="10" t="s">
        <v>19</v>
      </c>
      <c r="E669" s="12">
        <v>44290</v>
      </c>
      <c r="F669" s="31">
        <v>79.989999999999995</v>
      </c>
      <c r="G669" s="13">
        <v>2</v>
      </c>
      <c r="H669" s="31">
        <f t="shared" si="10"/>
        <v>159.97999999999999</v>
      </c>
    </row>
    <row r="670" spans="1:8" x14ac:dyDescent="0.3">
      <c r="A670" s="9" t="s">
        <v>5</v>
      </c>
      <c r="B670" s="10" t="s">
        <v>26</v>
      </c>
      <c r="C670" s="11" t="s">
        <v>15</v>
      </c>
      <c r="D670" s="10" t="s">
        <v>22</v>
      </c>
      <c r="E670" s="12">
        <v>44511</v>
      </c>
      <c r="F670" s="31">
        <v>168.95</v>
      </c>
      <c r="G670" s="13">
        <v>13</v>
      </c>
      <c r="H670" s="31">
        <f t="shared" si="10"/>
        <v>2196.35</v>
      </c>
    </row>
    <row r="671" spans="1:8" x14ac:dyDescent="0.3">
      <c r="A671" s="17" t="s">
        <v>4</v>
      </c>
      <c r="B671" s="10" t="s">
        <v>23</v>
      </c>
      <c r="C671" s="11" t="s">
        <v>14</v>
      </c>
      <c r="D671" s="10" t="s">
        <v>20</v>
      </c>
      <c r="E671" s="12">
        <v>44346</v>
      </c>
      <c r="F671" s="31">
        <v>340.95</v>
      </c>
      <c r="G671" s="13">
        <v>9</v>
      </c>
      <c r="H671" s="31">
        <f t="shared" si="10"/>
        <v>3068.5499999999997</v>
      </c>
    </row>
    <row r="672" spans="1:8" x14ac:dyDescent="0.3">
      <c r="A672" s="9" t="s">
        <v>13</v>
      </c>
      <c r="B672" s="10" t="s">
        <v>27</v>
      </c>
      <c r="C672" s="11" t="s">
        <v>16</v>
      </c>
      <c r="D672" s="10" t="s">
        <v>18</v>
      </c>
      <c r="E672" s="12">
        <v>44316</v>
      </c>
      <c r="F672" s="31">
        <v>799.95</v>
      </c>
      <c r="G672" s="13">
        <v>11</v>
      </c>
      <c r="H672" s="31">
        <f t="shared" si="10"/>
        <v>8799.4500000000007</v>
      </c>
    </row>
    <row r="673" spans="1:8" x14ac:dyDescent="0.3">
      <c r="A673" s="9" t="s">
        <v>3</v>
      </c>
      <c r="B673" s="10" t="s">
        <v>26</v>
      </c>
      <c r="C673" s="11" t="s">
        <v>15</v>
      </c>
      <c r="D673" s="10" t="s">
        <v>18</v>
      </c>
      <c r="E673" s="12">
        <v>44353</v>
      </c>
      <c r="F673" s="31">
        <v>168.95</v>
      </c>
      <c r="G673" s="13">
        <v>6</v>
      </c>
      <c r="H673" s="31">
        <f t="shared" si="10"/>
        <v>1013.6999999999999</v>
      </c>
    </row>
    <row r="674" spans="1:8" x14ac:dyDescent="0.3">
      <c r="A674" s="9" t="s">
        <v>7</v>
      </c>
      <c r="B674" s="10" t="s">
        <v>24</v>
      </c>
      <c r="C674" s="11" t="s">
        <v>17</v>
      </c>
      <c r="D674" s="10" t="s">
        <v>21</v>
      </c>
      <c r="E674" s="12">
        <v>44417</v>
      </c>
      <c r="F674" s="31">
        <v>79.989999999999995</v>
      </c>
      <c r="G674" s="13">
        <v>8</v>
      </c>
      <c r="H674" s="31">
        <f t="shared" si="10"/>
        <v>639.91999999999996</v>
      </c>
    </row>
    <row r="675" spans="1:8" x14ac:dyDescent="0.3">
      <c r="A675" s="17" t="s">
        <v>4</v>
      </c>
      <c r="B675" s="10" t="s">
        <v>25</v>
      </c>
      <c r="C675" s="11" t="s">
        <v>14</v>
      </c>
      <c r="D675" s="10" t="s">
        <v>22</v>
      </c>
      <c r="E675" s="12">
        <v>44469</v>
      </c>
      <c r="F675" s="31">
        <v>340.95</v>
      </c>
      <c r="G675" s="13">
        <v>3</v>
      </c>
      <c r="H675" s="31">
        <f t="shared" si="10"/>
        <v>1022.8499999999999</v>
      </c>
    </row>
    <row r="676" spans="1:8" x14ac:dyDescent="0.3">
      <c r="A676" s="9" t="s">
        <v>13</v>
      </c>
      <c r="B676" s="10" t="s">
        <v>24</v>
      </c>
      <c r="C676" s="11" t="s">
        <v>16</v>
      </c>
      <c r="D676" s="10" t="s">
        <v>18</v>
      </c>
      <c r="E676" s="12">
        <v>44143</v>
      </c>
      <c r="F676" s="31">
        <v>79.989999999999995</v>
      </c>
      <c r="G676" s="13">
        <v>9</v>
      </c>
      <c r="H676" s="31">
        <f t="shared" si="10"/>
        <v>719.91</v>
      </c>
    </row>
    <row r="677" spans="1:8" x14ac:dyDescent="0.3">
      <c r="A677" s="9" t="s">
        <v>3</v>
      </c>
      <c r="B677" s="10" t="s">
        <v>27</v>
      </c>
      <c r="C677" s="11" t="s">
        <v>15</v>
      </c>
      <c r="D677" s="10" t="s">
        <v>19</v>
      </c>
      <c r="E677" s="12">
        <v>43978</v>
      </c>
      <c r="F677" s="31">
        <v>799.95</v>
      </c>
      <c r="G677" s="13">
        <v>10</v>
      </c>
      <c r="H677" s="31">
        <f t="shared" si="10"/>
        <v>7999.5</v>
      </c>
    </row>
    <row r="678" spans="1:8" x14ac:dyDescent="0.3">
      <c r="A678" s="9" t="s">
        <v>13</v>
      </c>
      <c r="B678" s="10" t="s">
        <v>27</v>
      </c>
      <c r="C678" s="11" t="s">
        <v>16</v>
      </c>
      <c r="D678" s="10" t="s">
        <v>19</v>
      </c>
      <c r="E678" s="12">
        <v>44155</v>
      </c>
      <c r="F678" s="31">
        <v>799.95</v>
      </c>
      <c r="G678" s="13">
        <v>5</v>
      </c>
      <c r="H678" s="31">
        <f t="shared" si="10"/>
        <v>3999.75</v>
      </c>
    </row>
    <row r="679" spans="1:8" x14ac:dyDescent="0.3">
      <c r="A679" s="9" t="s">
        <v>9</v>
      </c>
      <c r="B679" s="10" t="s">
        <v>25</v>
      </c>
      <c r="C679" s="11" t="s">
        <v>15</v>
      </c>
      <c r="D679" s="10" t="s">
        <v>20</v>
      </c>
      <c r="E679" s="12">
        <v>43965</v>
      </c>
      <c r="F679" s="31">
        <v>340.95</v>
      </c>
      <c r="G679" s="13">
        <v>11</v>
      </c>
      <c r="H679" s="31">
        <f t="shared" si="10"/>
        <v>3750.45</v>
      </c>
    </row>
    <row r="680" spans="1:8" x14ac:dyDescent="0.3">
      <c r="A680" s="9" t="s">
        <v>5</v>
      </c>
      <c r="B680" s="10" t="s">
        <v>26</v>
      </c>
      <c r="C680" s="11" t="s">
        <v>15</v>
      </c>
      <c r="D680" s="10" t="s">
        <v>18</v>
      </c>
      <c r="E680" s="12">
        <v>44350</v>
      </c>
      <c r="F680" s="31">
        <v>168.95</v>
      </c>
      <c r="G680" s="13">
        <v>14</v>
      </c>
      <c r="H680" s="31">
        <f t="shared" si="10"/>
        <v>2365.2999999999997</v>
      </c>
    </row>
    <row r="681" spans="1:8" x14ac:dyDescent="0.3">
      <c r="A681" s="17" t="s">
        <v>12</v>
      </c>
      <c r="B681" s="10" t="s">
        <v>23</v>
      </c>
      <c r="C681" s="11" t="s">
        <v>15</v>
      </c>
      <c r="D681" s="10" t="s">
        <v>21</v>
      </c>
      <c r="E681" s="12">
        <v>44366</v>
      </c>
      <c r="F681" s="31">
        <v>340.95</v>
      </c>
      <c r="G681" s="13">
        <v>3</v>
      </c>
      <c r="H681" s="31">
        <f t="shared" si="10"/>
        <v>1022.8499999999999</v>
      </c>
    </row>
    <row r="682" spans="1:8" x14ac:dyDescent="0.3">
      <c r="A682" s="17" t="s">
        <v>12</v>
      </c>
      <c r="B682" s="10" t="s">
        <v>26</v>
      </c>
      <c r="C682" s="11" t="s">
        <v>15</v>
      </c>
      <c r="D682" s="10" t="s">
        <v>19</v>
      </c>
      <c r="E682" s="12">
        <v>43930</v>
      </c>
      <c r="F682" s="31">
        <v>168.95</v>
      </c>
      <c r="G682" s="13">
        <v>13</v>
      </c>
      <c r="H682" s="31">
        <f t="shared" si="10"/>
        <v>2196.35</v>
      </c>
    </row>
    <row r="683" spans="1:8" x14ac:dyDescent="0.3">
      <c r="A683" s="17" t="s">
        <v>4</v>
      </c>
      <c r="B683" s="10" t="s">
        <v>27</v>
      </c>
      <c r="C683" s="11" t="s">
        <v>14</v>
      </c>
      <c r="D683" s="10" t="s">
        <v>21</v>
      </c>
      <c r="E683" s="12">
        <v>43889</v>
      </c>
      <c r="F683" s="31">
        <v>799.95</v>
      </c>
      <c r="G683" s="13">
        <v>9</v>
      </c>
      <c r="H683" s="31">
        <f t="shared" si="10"/>
        <v>7199.55</v>
      </c>
    </row>
    <row r="684" spans="1:8" x14ac:dyDescent="0.3">
      <c r="A684" s="17" t="s">
        <v>4</v>
      </c>
      <c r="B684" s="10" t="s">
        <v>24</v>
      </c>
      <c r="C684" s="11" t="s">
        <v>14</v>
      </c>
      <c r="D684" s="10" t="s">
        <v>19</v>
      </c>
      <c r="E684" s="12">
        <v>44519</v>
      </c>
      <c r="F684" s="31">
        <v>79.989999999999995</v>
      </c>
      <c r="G684" s="13">
        <v>12</v>
      </c>
      <c r="H684" s="31">
        <f t="shared" si="10"/>
        <v>959.87999999999988</v>
      </c>
    </row>
    <row r="685" spans="1:8" x14ac:dyDescent="0.3">
      <c r="A685" s="9" t="s">
        <v>7</v>
      </c>
      <c r="B685" s="10" t="s">
        <v>24</v>
      </c>
      <c r="C685" s="11" t="s">
        <v>17</v>
      </c>
      <c r="D685" s="10" t="s">
        <v>20</v>
      </c>
      <c r="E685" s="12">
        <v>44433</v>
      </c>
      <c r="F685" s="31">
        <v>79.989999999999995</v>
      </c>
      <c r="G685" s="13">
        <v>8</v>
      </c>
      <c r="H685" s="31">
        <f t="shared" si="10"/>
        <v>639.91999999999996</v>
      </c>
    </row>
    <row r="686" spans="1:8" x14ac:dyDescent="0.3">
      <c r="A686" s="17" t="s">
        <v>6</v>
      </c>
      <c r="B686" s="10" t="s">
        <v>27</v>
      </c>
      <c r="C686" s="11" t="s">
        <v>14</v>
      </c>
      <c r="D686" s="10" t="s">
        <v>18</v>
      </c>
      <c r="E686" s="12">
        <v>44190</v>
      </c>
      <c r="F686" s="31">
        <v>799.95</v>
      </c>
      <c r="G686" s="13">
        <v>20</v>
      </c>
      <c r="H686" s="31">
        <f t="shared" si="10"/>
        <v>15999</v>
      </c>
    </row>
    <row r="687" spans="1:8" x14ac:dyDescent="0.3">
      <c r="A687" s="9" t="s">
        <v>5</v>
      </c>
      <c r="B687" s="10" t="s">
        <v>25</v>
      </c>
      <c r="C687" s="11" t="s">
        <v>16</v>
      </c>
      <c r="D687" s="10" t="s">
        <v>21</v>
      </c>
      <c r="E687" s="12">
        <v>44353</v>
      </c>
      <c r="F687" s="31">
        <v>340.95</v>
      </c>
      <c r="G687" s="13">
        <v>2</v>
      </c>
      <c r="H687" s="31">
        <f t="shared" si="10"/>
        <v>681.9</v>
      </c>
    </row>
    <row r="688" spans="1:8" x14ac:dyDescent="0.3">
      <c r="A688" s="17" t="s">
        <v>8</v>
      </c>
      <c r="B688" s="10" t="s">
        <v>27</v>
      </c>
      <c r="C688" s="11" t="s">
        <v>17</v>
      </c>
      <c r="D688" s="10" t="s">
        <v>21</v>
      </c>
      <c r="E688" s="12">
        <v>44126</v>
      </c>
      <c r="F688" s="31">
        <v>799.95</v>
      </c>
      <c r="G688" s="13">
        <v>13</v>
      </c>
      <c r="H688" s="31">
        <f t="shared" si="10"/>
        <v>10399.35</v>
      </c>
    </row>
    <row r="689" spans="1:8" x14ac:dyDescent="0.3">
      <c r="A689" s="17" t="s">
        <v>10</v>
      </c>
      <c r="B689" s="10" t="s">
        <v>27</v>
      </c>
      <c r="C689" s="11" t="s">
        <v>16</v>
      </c>
      <c r="D689" s="10" t="s">
        <v>22</v>
      </c>
      <c r="E689" s="12">
        <v>44084</v>
      </c>
      <c r="F689" s="31">
        <v>799.95</v>
      </c>
      <c r="G689" s="13">
        <v>1</v>
      </c>
      <c r="H689" s="31">
        <f t="shared" si="10"/>
        <v>799.95</v>
      </c>
    </row>
    <row r="690" spans="1:8" x14ac:dyDescent="0.3">
      <c r="A690" s="17" t="s">
        <v>12</v>
      </c>
      <c r="B690" s="10" t="s">
        <v>27</v>
      </c>
      <c r="C690" s="11" t="s">
        <v>15</v>
      </c>
      <c r="D690" s="10" t="s">
        <v>22</v>
      </c>
      <c r="E690" s="12">
        <v>44188</v>
      </c>
      <c r="F690" s="31">
        <v>799.95</v>
      </c>
      <c r="G690" s="13">
        <v>6</v>
      </c>
      <c r="H690" s="31">
        <f t="shared" si="10"/>
        <v>4799.7000000000007</v>
      </c>
    </row>
    <row r="691" spans="1:8" x14ac:dyDescent="0.3">
      <c r="A691" s="17" t="s">
        <v>10</v>
      </c>
      <c r="B691" s="10" t="s">
        <v>23</v>
      </c>
      <c r="C691" s="11" t="s">
        <v>16</v>
      </c>
      <c r="D691" s="10" t="s">
        <v>20</v>
      </c>
      <c r="E691" s="12">
        <v>43971</v>
      </c>
      <c r="F691" s="31">
        <v>340.95</v>
      </c>
      <c r="G691" s="13">
        <v>15</v>
      </c>
      <c r="H691" s="31">
        <f t="shared" si="10"/>
        <v>5114.25</v>
      </c>
    </row>
    <row r="692" spans="1:8" x14ac:dyDescent="0.3">
      <c r="A692" s="9" t="s">
        <v>2</v>
      </c>
      <c r="B692" s="10" t="s">
        <v>26</v>
      </c>
      <c r="C692" s="11" t="s">
        <v>14</v>
      </c>
      <c r="D692" s="10" t="s">
        <v>20</v>
      </c>
      <c r="E692" s="12">
        <v>44070</v>
      </c>
      <c r="F692" s="31">
        <v>168.95</v>
      </c>
      <c r="G692" s="13">
        <v>3</v>
      </c>
      <c r="H692" s="31">
        <f t="shared" si="10"/>
        <v>506.84999999999997</v>
      </c>
    </row>
    <row r="693" spans="1:8" x14ac:dyDescent="0.3">
      <c r="A693" s="9" t="s">
        <v>3</v>
      </c>
      <c r="B693" s="10" t="s">
        <v>26</v>
      </c>
      <c r="C693" s="11" t="s">
        <v>15</v>
      </c>
      <c r="D693" s="10" t="s">
        <v>18</v>
      </c>
      <c r="E693" s="12">
        <v>44403</v>
      </c>
      <c r="F693" s="31">
        <v>168.95</v>
      </c>
      <c r="G693" s="13">
        <v>17</v>
      </c>
      <c r="H693" s="31">
        <f t="shared" si="10"/>
        <v>2872.1499999999996</v>
      </c>
    </row>
    <row r="694" spans="1:8" x14ac:dyDescent="0.3">
      <c r="A694" s="9" t="s">
        <v>9</v>
      </c>
      <c r="B694" s="10" t="s">
        <v>26</v>
      </c>
      <c r="C694" s="11" t="s">
        <v>15</v>
      </c>
      <c r="D694" s="10" t="s">
        <v>22</v>
      </c>
      <c r="E694" s="12">
        <v>43910</v>
      </c>
      <c r="F694" s="31">
        <v>168.95</v>
      </c>
      <c r="G694" s="13">
        <v>12</v>
      </c>
      <c r="H694" s="31">
        <f t="shared" si="10"/>
        <v>2027.3999999999999</v>
      </c>
    </row>
    <row r="695" spans="1:8" x14ac:dyDescent="0.3">
      <c r="A695" s="9" t="s">
        <v>3</v>
      </c>
      <c r="B695" s="10" t="s">
        <v>23</v>
      </c>
      <c r="C695" s="11" t="s">
        <v>15</v>
      </c>
      <c r="D695" s="10" t="s">
        <v>21</v>
      </c>
      <c r="E695" s="12">
        <v>43904</v>
      </c>
      <c r="F695" s="31">
        <v>340.95</v>
      </c>
      <c r="G695" s="13">
        <v>5</v>
      </c>
      <c r="H695" s="31">
        <f t="shared" si="10"/>
        <v>1704.75</v>
      </c>
    </row>
    <row r="696" spans="1:8" x14ac:dyDescent="0.3">
      <c r="A696" s="9" t="s">
        <v>13</v>
      </c>
      <c r="B696" s="10" t="s">
        <v>24</v>
      </c>
      <c r="C696" s="11" t="s">
        <v>16</v>
      </c>
      <c r="D696" s="10" t="s">
        <v>21</v>
      </c>
      <c r="E696" s="12">
        <v>44210</v>
      </c>
      <c r="F696" s="31">
        <v>79.989999999999995</v>
      </c>
      <c r="G696" s="13">
        <v>12</v>
      </c>
      <c r="H696" s="31">
        <f t="shared" si="10"/>
        <v>959.87999999999988</v>
      </c>
    </row>
    <row r="697" spans="1:8" x14ac:dyDescent="0.3">
      <c r="A697" s="17" t="s">
        <v>8</v>
      </c>
      <c r="B697" s="10" t="s">
        <v>24</v>
      </c>
      <c r="C697" s="11" t="s">
        <v>17</v>
      </c>
      <c r="D697" s="10" t="s">
        <v>18</v>
      </c>
      <c r="E697" s="12">
        <v>44079</v>
      </c>
      <c r="F697" s="31">
        <v>79.989999999999995</v>
      </c>
      <c r="G697" s="13">
        <v>11</v>
      </c>
      <c r="H697" s="31">
        <f t="shared" si="10"/>
        <v>879.89</v>
      </c>
    </row>
    <row r="698" spans="1:8" x14ac:dyDescent="0.3">
      <c r="A698" s="9" t="s">
        <v>3</v>
      </c>
      <c r="B698" s="10" t="s">
        <v>24</v>
      </c>
      <c r="C698" s="11" t="s">
        <v>15</v>
      </c>
      <c r="D698" s="10" t="s">
        <v>18</v>
      </c>
      <c r="E698" s="12">
        <v>44197</v>
      </c>
      <c r="F698" s="31">
        <v>79.989999999999995</v>
      </c>
      <c r="G698" s="13">
        <v>9</v>
      </c>
      <c r="H698" s="31">
        <f t="shared" si="10"/>
        <v>719.91</v>
      </c>
    </row>
    <row r="699" spans="1:8" x14ac:dyDescent="0.3">
      <c r="A699" s="17" t="s">
        <v>12</v>
      </c>
      <c r="B699" s="10" t="s">
        <v>27</v>
      </c>
      <c r="C699" s="11" t="s">
        <v>15</v>
      </c>
      <c r="D699" s="10" t="s">
        <v>18</v>
      </c>
      <c r="E699" s="12">
        <v>44025</v>
      </c>
      <c r="F699" s="31">
        <v>799.95</v>
      </c>
      <c r="G699" s="13">
        <v>14</v>
      </c>
      <c r="H699" s="31">
        <f t="shared" si="10"/>
        <v>11199.300000000001</v>
      </c>
    </row>
    <row r="700" spans="1:8" x14ac:dyDescent="0.3">
      <c r="A700" s="17" t="s">
        <v>10</v>
      </c>
      <c r="B700" s="10" t="s">
        <v>23</v>
      </c>
      <c r="C700" s="11" t="s">
        <v>16</v>
      </c>
      <c r="D700" s="10" t="s">
        <v>22</v>
      </c>
      <c r="E700" s="12">
        <v>44395</v>
      </c>
      <c r="F700" s="31">
        <v>340.95</v>
      </c>
      <c r="G700" s="13">
        <v>5</v>
      </c>
      <c r="H700" s="31">
        <f t="shared" si="10"/>
        <v>1704.75</v>
      </c>
    </row>
    <row r="701" spans="1:8" x14ac:dyDescent="0.3">
      <c r="A701" s="9" t="s">
        <v>5</v>
      </c>
      <c r="B701" s="10" t="s">
        <v>27</v>
      </c>
      <c r="C701" s="11" t="s">
        <v>15</v>
      </c>
      <c r="D701" s="10" t="s">
        <v>21</v>
      </c>
      <c r="E701" s="12">
        <v>44224</v>
      </c>
      <c r="F701" s="31">
        <v>799.95</v>
      </c>
      <c r="G701" s="13">
        <v>2</v>
      </c>
      <c r="H701" s="31">
        <f t="shared" si="10"/>
        <v>1599.9</v>
      </c>
    </row>
    <row r="702" spans="1:8" x14ac:dyDescent="0.3">
      <c r="A702" s="9" t="s">
        <v>3</v>
      </c>
      <c r="B702" s="10" t="s">
        <v>27</v>
      </c>
      <c r="C702" s="11" t="s">
        <v>15</v>
      </c>
      <c r="D702" s="10" t="s">
        <v>19</v>
      </c>
      <c r="E702" s="12">
        <v>44525</v>
      </c>
      <c r="F702" s="31">
        <v>799.95</v>
      </c>
      <c r="G702" s="13">
        <v>10</v>
      </c>
      <c r="H702" s="31">
        <f t="shared" si="10"/>
        <v>7999.5</v>
      </c>
    </row>
    <row r="703" spans="1:8" x14ac:dyDescent="0.3">
      <c r="A703" s="9" t="s">
        <v>2</v>
      </c>
      <c r="B703" s="10" t="s">
        <v>23</v>
      </c>
      <c r="C703" s="11" t="s">
        <v>14</v>
      </c>
      <c r="D703" s="10" t="s">
        <v>22</v>
      </c>
      <c r="E703" s="12">
        <v>44273</v>
      </c>
      <c r="F703" s="31">
        <v>340.95</v>
      </c>
      <c r="G703" s="13">
        <v>4</v>
      </c>
      <c r="H703" s="31">
        <f t="shared" si="10"/>
        <v>1363.8</v>
      </c>
    </row>
    <row r="704" spans="1:8" x14ac:dyDescent="0.3">
      <c r="A704" s="17" t="s">
        <v>8</v>
      </c>
      <c r="B704" s="10" t="s">
        <v>25</v>
      </c>
      <c r="C704" s="11" t="s">
        <v>17</v>
      </c>
      <c r="D704" s="10" t="s">
        <v>18</v>
      </c>
      <c r="E704" s="12">
        <v>44359</v>
      </c>
      <c r="F704" s="31">
        <v>340.95</v>
      </c>
      <c r="G704" s="13">
        <v>8</v>
      </c>
      <c r="H704" s="31">
        <f t="shared" si="10"/>
        <v>2727.6</v>
      </c>
    </row>
    <row r="705" spans="1:8" x14ac:dyDescent="0.3">
      <c r="A705" s="17" t="s">
        <v>6</v>
      </c>
      <c r="B705" s="10" t="s">
        <v>24</v>
      </c>
      <c r="C705" s="11" t="s">
        <v>14</v>
      </c>
      <c r="D705" s="10" t="s">
        <v>18</v>
      </c>
      <c r="E705" s="12">
        <v>44408</v>
      </c>
      <c r="F705" s="31">
        <v>79.989999999999995</v>
      </c>
      <c r="G705" s="13">
        <v>8</v>
      </c>
      <c r="H705" s="31">
        <f t="shared" si="10"/>
        <v>639.91999999999996</v>
      </c>
    </row>
    <row r="706" spans="1:8" x14ac:dyDescent="0.3">
      <c r="A706" s="17" t="s">
        <v>12</v>
      </c>
      <c r="B706" s="10" t="s">
        <v>25</v>
      </c>
      <c r="C706" s="11" t="s">
        <v>15</v>
      </c>
      <c r="D706" s="10" t="s">
        <v>22</v>
      </c>
      <c r="E706" s="12">
        <v>43969</v>
      </c>
      <c r="F706" s="31">
        <v>340.95</v>
      </c>
      <c r="G706" s="13">
        <v>5</v>
      </c>
      <c r="H706" s="31">
        <f t="shared" ref="H706:H769" si="11">F706*G706</f>
        <v>1704.75</v>
      </c>
    </row>
    <row r="707" spans="1:8" x14ac:dyDescent="0.3">
      <c r="A707" s="17" t="s">
        <v>4</v>
      </c>
      <c r="B707" s="10" t="s">
        <v>24</v>
      </c>
      <c r="C707" s="11" t="s">
        <v>14</v>
      </c>
      <c r="D707" s="10" t="s">
        <v>21</v>
      </c>
      <c r="E707" s="12">
        <v>44178</v>
      </c>
      <c r="F707" s="31">
        <v>79.989999999999995</v>
      </c>
      <c r="G707" s="13">
        <v>6</v>
      </c>
      <c r="H707" s="31">
        <f t="shared" si="11"/>
        <v>479.93999999999994</v>
      </c>
    </row>
    <row r="708" spans="1:8" x14ac:dyDescent="0.3">
      <c r="A708" s="9" t="s">
        <v>9</v>
      </c>
      <c r="B708" s="10" t="s">
        <v>26</v>
      </c>
      <c r="C708" s="11" t="s">
        <v>15</v>
      </c>
      <c r="D708" s="10" t="s">
        <v>21</v>
      </c>
      <c r="E708" s="12">
        <v>44009</v>
      </c>
      <c r="F708" s="31">
        <v>168.95</v>
      </c>
      <c r="G708" s="13">
        <v>7</v>
      </c>
      <c r="H708" s="31">
        <f t="shared" si="11"/>
        <v>1182.6499999999999</v>
      </c>
    </row>
    <row r="709" spans="1:8" x14ac:dyDescent="0.3">
      <c r="A709" s="17" t="s">
        <v>4</v>
      </c>
      <c r="B709" s="10" t="s">
        <v>27</v>
      </c>
      <c r="C709" s="11" t="s">
        <v>14</v>
      </c>
      <c r="D709" s="10" t="s">
        <v>19</v>
      </c>
      <c r="E709" s="12">
        <v>43872</v>
      </c>
      <c r="F709" s="31">
        <v>799.95</v>
      </c>
      <c r="G709" s="13">
        <v>4</v>
      </c>
      <c r="H709" s="31">
        <f t="shared" si="11"/>
        <v>3199.8</v>
      </c>
    </row>
    <row r="710" spans="1:8" x14ac:dyDescent="0.3">
      <c r="A710" s="17" t="s">
        <v>12</v>
      </c>
      <c r="B710" s="10" t="s">
        <v>25</v>
      </c>
      <c r="C710" s="11" t="s">
        <v>15</v>
      </c>
      <c r="D710" s="10" t="s">
        <v>18</v>
      </c>
      <c r="E710" s="12">
        <v>43867</v>
      </c>
      <c r="F710" s="31">
        <v>340.95</v>
      </c>
      <c r="G710" s="13">
        <v>12</v>
      </c>
      <c r="H710" s="31">
        <f t="shared" si="11"/>
        <v>4091.3999999999996</v>
      </c>
    </row>
    <row r="711" spans="1:8" x14ac:dyDescent="0.3">
      <c r="A711" s="9" t="s">
        <v>3</v>
      </c>
      <c r="B711" s="10" t="s">
        <v>24</v>
      </c>
      <c r="C711" s="11" t="s">
        <v>15</v>
      </c>
      <c r="D711" s="10" t="s">
        <v>21</v>
      </c>
      <c r="E711" s="12">
        <v>44380</v>
      </c>
      <c r="F711" s="31">
        <v>79.989999999999995</v>
      </c>
      <c r="G711" s="13">
        <v>4</v>
      </c>
      <c r="H711" s="31">
        <f t="shared" si="11"/>
        <v>319.95999999999998</v>
      </c>
    </row>
    <row r="712" spans="1:8" x14ac:dyDescent="0.3">
      <c r="A712" s="17" t="s">
        <v>8</v>
      </c>
      <c r="B712" s="10" t="s">
        <v>27</v>
      </c>
      <c r="C712" s="11" t="s">
        <v>17</v>
      </c>
      <c r="D712" s="10" t="s">
        <v>21</v>
      </c>
      <c r="E712" s="12">
        <v>44513</v>
      </c>
      <c r="F712" s="31">
        <v>799.95</v>
      </c>
      <c r="G712" s="13">
        <v>7</v>
      </c>
      <c r="H712" s="31">
        <f t="shared" si="11"/>
        <v>5599.6500000000005</v>
      </c>
    </row>
    <row r="713" spans="1:8" x14ac:dyDescent="0.3">
      <c r="A713" s="9" t="s">
        <v>3</v>
      </c>
      <c r="B713" s="10" t="s">
        <v>23</v>
      </c>
      <c r="C713" s="11" t="s">
        <v>15</v>
      </c>
      <c r="D713" s="10" t="s">
        <v>20</v>
      </c>
      <c r="E713" s="12">
        <v>44157</v>
      </c>
      <c r="F713" s="31">
        <v>340.95</v>
      </c>
      <c r="G713" s="13">
        <v>8</v>
      </c>
      <c r="H713" s="31">
        <f t="shared" si="11"/>
        <v>2727.6</v>
      </c>
    </row>
    <row r="714" spans="1:8" x14ac:dyDescent="0.3">
      <c r="A714" s="17" t="s">
        <v>8</v>
      </c>
      <c r="B714" s="10" t="s">
        <v>27</v>
      </c>
      <c r="C714" s="11" t="s">
        <v>17</v>
      </c>
      <c r="D714" s="10" t="s">
        <v>20</v>
      </c>
      <c r="E714" s="12">
        <v>44385</v>
      </c>
      <c r="F714" s="31">
        <v>799.95</v>
      </c>
      <c r="G714" s="13">
        <v>5</v>
      </c>
      <c r="H714" s="31">
        <f t="shared" si="11"/>
        <v>3999.75</v>
      </c>
    </row>
    <row r="715" spans="1:8" x14ac:dyDescent="0.3">
      <c r="A715" s="9" t="s">
        <v>3</v>
      </c>
      <c r="B715" s="10" t="s">
        <v>26</v>
      </c>
      <c r="C715" s="11" t="s">
        <v>15</v>
      </c>
      <c r="D715" s="10" t="s">
        <v>20</v>
      </c>
      <c r="E715" s="12">
        <v>44336</v>
      </c>
      <c r="F715" s="31">
        <v>168.95</v>
      </c>
      <c r="G715" s="13">
        <v>13</v>
      </c>
      <c r="H715" s="31">
        <f t="shared" si="11"/>
        <v>2196.35</v>
      </c>
    </row>
    <row r="716" spans="1:8" x14ac:dyDescent="0.3">
      <c r="A716" s="17" t="s">
        <v>10</v>
      </c>
      <c r="B716" s="10" t="s">
        <v>25</v>
      </c>
      <c r="C716" s="11" t="s">
        <v>16</v>
      </c>
      <c r="D716" s="10" t="s">
        <v>20</v>
      </c>
      <c r="E716" s="12">
        <v>44252</v>
      </c>
      <c r="F716" s="31">
        <v>340.95</v>
      </c>
      <c r="G716" s="13">
        <v>3</v>
      </c>
      <c r="H716" s="31">
        <f t="shared" si="11"/>
        <v>1022.8499999999999</v>
      </c>
    </row>
    <row r="717" spans="1:8" x14ac:dyDescent="0.3">
      <c r="A717" s="9" t="s">
        <v>13</v>
      </c>
      <c r="B717" s="10" t="s">
        <v>23</v>
      </c>
      <c r="C717" s="11" t="s">
        <v>16</v>
      </c>
      <c r="D717" s="10" t="s">
        <v>18</v>
      </c>
      <c r="E717" s="12">
        <v>44378</v>
      </c>
      <c r="F717" s="31">
        <v>340.95</v>
      </c>
      <c r="G717" s="13">
        <v>9</v>
      </c>
      <c r="H717" s="31">
        <f t="shared" si="11"/>
        <v>3068.5499999999997</v>
      </c>
    </row>
    <row r="718" spans="1:8" x14ac:dyDescent="0.3">
      <c r="A718" s="9" t="s">
        <v>3</v>
      </c>
      <c r="B718" s="10" t="s">
        <v>27</v>
      </c>
      <c r="C718" s="11" t="s">
        <v>15</v>
      </c>
      <c r="D718" s="10" t="s">
        <v>19</v>
      </c>
      <c r="E718" s="12">
        <v>44314</v>
      </c>
      <c r="F718" s="31">
        <v>799.95</v>
      </c>
      <c r="G718" s="13">
        <v>10</v>
      </c>
      <c r="H718" s="31">
        <f t="shared" si="11"/>
        <v>7999.5</v>
      </c>
    </row>
    <row r="719" spans="1:8" x14ac:dyDescent="0.3">
      <c r="A719" s="9" t="s">
        <v>13</v>
      </c>
      <c r="B719" s="10" t="s">
        <v>24</v>
      </c>
      <c r="C719" s="11" t="s">
        <v>16</v>
      </c>
      <c r="D719" s="10" t="s">
        <v>20</v>
      </c>
      <c r="E719" s="12">
        <v>44364</v>
      </c>
      <c r="F719" s="31">
        <v>79.989999999999995</v>
      </c>
      <c r="G719" s="13">
        <v>11</v>
      </c>
      <c r="H719" s="31">
        <f t="shared" si="11"/>
        <v>879.89</v>
      </c>
    </row>
    <row r="720" spans="1:8" x14ac:dyDescent="0.3">
      <c r="A720" s="17" t="s">
        <v>12</v>
      </c>
      <c r="B720" s="10" t="s">
        <v>23</v>
      </c>
      <c r="C720" s="11" t="s">
        <v>15</v>
      </c>
      <c r="D720" s="10" t="s">
        <v>21</v>
      </c>
      <c r="E720" s="12">
        <v>44126</v>
      </c>
      <c r="F720" s="31">
        <v>340.95</v>
      </c>
      <c r="G720" s="13">
        <v>7</v>
      </c>
      <c r="H720" s="31">
        <f t="shared" si="11"/>
        <v>2386.65</v>
      </c>
    </row>
    <row r="721" spans="1:8" x14ac:dyDescent="0.3">
      <c r="A721" s="17" t="s">
        <v>6</v>
      </c>
      <c r="B721" s="10" t="s">
        <v>27</v>
      </c>
      <c r="C721" s="11" t="s">
        <v>14</v>
      </c>
      <c r="D721" s="10" t="s">
        <v>18</v>
      </c>
      <c r="E721" s="12">
        <v>44379</v>
      </c>
      <c r="F721" s="31">
        <v>799.95</v>
      </c>
      <c r="G721" s="13">
        <v>10</v>
      </c>
      <c r="H721" s="31">
        <f t="shared" si="11"/>
        <v>7999.5</v>
      </c>
    </row>
    <row r="722" spans="1:8" x14ac:dyDescent="0.3">
      <c r="A722" s="17" t="s">
        <v>8</v>
      </c>
      <c r="B722" s="10" t="s">
        <v>25</v>
      </c>
      <c r="C722" s="11" t="s">
        <v>17</v>
      </c>
      <c r="D722" s="10" t="s">
        <v>21</v>
      </c>
      <c r="E722" s="12">
        <v>44420</v>
      </c>
      <c r="F722" s="31">
        <v>340.95</v>
      </c>
      <c r="G722" s="13">
        <v>11</v>
      </c>
      <c r="H722" s="31">
        <f t="shared" si="11"/>
        <v>3750.45</v>
      </c>
    </row>
    <row r="723" spans="1:8" x14ac:dyDescent="0.3">
      <c r="A723" s="9" t="s">
        <v>5</v>
      </c>
      <c r="B723" s="10" t="s">
        <v>27</v>
      </c>
      <c r="C723" s="11" t="s">
        <v>15</v>
      </c>
      <c r="D723" s="10" t="s">
        <v>18</v>
      </c>
      <c r="E723" s="12">
        <v>44347</v>
      </c>
      <c r="F723" s="31">
        <v>799.95</v>
      </c>
      <c r="G723" s="13">
        <v>8</v>
      </c>
      <c r="H723" s="31">
        <f t="shared" si="11"/>
        <v>6399.6</v>
      </c>
    </row>
    <row r="724" spans="1:8" x14ac:dyDescent="0.3">
      <c r="A724" s="17" t="s">
        <v>6</v>
      </c>
      <c r="B724" s="10" t="s">
        <v>23</v>
      </c>
      <c r="C724" s="11" t="s">
        <v>14</v>
      </c>
      <c r="D724" s="10" t="s">
        <v>22</v>
      </c>
      <c r="E724" s="12">
        <v>44266</v>
      </c>
      <c r="F724" s="31">
        <v>340.95</v>
      </c>
      <c r="G724" s="13">
        <v>12</v>
      </c>
      <c r="H724" s="31">
        <f t="shared" si="11"/>
        <v>4091.3999999999996</v>
      </c>
    </row>
    <row r="725" spans="1:8" x14ac:dyDescent="0.3">
      <c r="A725" s="17" t="s">
        <v>4</v>
      </c>
      <c r="B725" s="10" t="s">
        <v>27</v>
      </c>
      <c r="C725" s="11" t="s">
        <v>14</v>
      </c>
      <c r="D725" s="10" t="s">
        <v>18</v>
      </c>
      <c r="E725" s="12">
        <v>44204</v>
      </c>
      <c r="F725" s="31">
        <v>799.95</v>
      </c>
      <c r="G725" s="13">
        <v>18</v>
      </c>
      <c r="H725" s="31">
        <f t="shared" si="11"/>
        <v>14399.1</v>
      </c>
    </row>
    <row r="726" spans="1:8" x14ac:dyDescent="0.3">
      <c r="A726" s="17" t="s">
        <v>4</v>
      </c>
      <c r="B726" s="10" t="s">
        <v>23</v>
      </c>
      <c r="C726" s="11" t="s">
        <v>14</v>
      </c>
      <c r="D726" s="10" t="s">
        <v>19</v>
      </c>
      <c r="E726" s="12">
        <v>44380</v>
      </c>
      <c r="F726" s="31">
        <v>340.95</v>
      </c>
      <c r="G726" s="13">
        <v>13</v>
      </c>
      <c r="H726" s="31">
        <f t="shared" si="11"/>
        <v>4432.3499999999995</v>
      </c>
    </row>
    <row r="727" spans="1:8" x14ac:dyDescent="0.3">
      <c r="A727" s="17" t="s">
        <v>8</v>
      </c>
      <c r="B727" s="10" t="s">
        <v>25</v>
      </c>
      <c r="C727" s="11" t="s">
        <v>17</v>
      </c>
      <c r="D727" s="10" t="s">
        <v>20</v>
      </c>
      <c r="E727" s="12">
        <v>44095</v>
      </c>
      <c r="F727" s="31">
        <v>340.95</v>
      </c>
      <c r="G727" s="13">
        <v>12</v>
      </c>
      <c r="H727" s="31">
        <f t="shared" si="11"/>
        <v>4091.3999999999996</v>
      </c>
    </row>
    <row r="728" spans="1:8" x14ac:dyDescent="0.3">
      <c r="A728" s="9" t="s">
        <v>2</v>
      </c>
      <c r="B728" s="10" t="s">
        <v>23</v>
      </c>
      <c r="C728" s="11" t="s">
        <v>14</v>
      </c>
      <c r="D728" s="10" t="s">
        <v>20</v>
      </c>
      <c r="E728" s="12">
        <v>44359</v>
      </c>
      <c r="F728" s="31">
        <v>340.95</v>
      </c>
      <c r="G728" s="13">
        <v>9</v>
      </c>
      <c r="H728" s="31">
        <f t="shared" si="11"/>
        <v>3068.5499999999997</v>
      </c>
    </row>
    <row r="729" spans="1:8" x14ac:dyDescent="0.3">
      <c r="A729" s="9" t="s">
        <v>3</v>
      </c>
      <c r="B729" s="10" t="s">
        <v>25</v>
      </c>
      <c r="C729" s="11" t="s">
        <v>15</v>
      </c>
      <c r="D729" s="10" t="s">
        <v>21</v>
      </c>
      <c r="E729" s="12">
        <v>44045</v>
      </c>
      <c r="F729" s="31">
        <v>340.95</v>
      </c>
      <c r="G729" s="13">
        <v>10</v>
      </c>
      <c r="H729" s="31">
        <f t="shared" si="11"/>
        <v>3409.5</v>
      </c>
    </row>
    <row r="730" spans="1:8" x14ac:dyDescent="0.3">
      <c r="A730" s="17" t="s">
        <v>8</v>
      </c>
      <c r="B730" s="10" t="s">
        <v>27</v>
      </c>
      <c r="C730" s="11" t="s">
        <v>17</v>
      </c>
      <c r="D730" s="10" t="s">
        <v>18</v>
      </c>
      <c r="E730" s="12">
        <v>44463</v>
      </c>
      <c r="F730" s="31">
        <v>799.95</v>
      </c>
      <c r="G730" s="13">
        <v>19</v>
      </c>
      <c r="H730" s="31">
        <f t="shared" si="11"/>
        <v>15199.050000000001</v>
      </c>
    </row>
    <row r="731" spans="1:8" x14ac:dyDescent="0.3">
      <c r="A731" s="9" t="s">
        <v>5</v>
      </c>
      <c r="B731" s="10" t="s">
        <v>25</v>
      </c>
      <c r="C731" s="11" t="s">
        <v>16</v>
      </c>
      <c r="D731" s="10" t="s">
        <v>19</v>
      </c>
      <c r="E731" s="12">
        <v>44205</v>
      </c>
      <c r="F731" s="31">
        <v>340.95</v>
      </c>
      <c r="G731" s="13">
        <v>7</v>
      </c>
      <c r="H731" s="31">
        <f t="shared" si="11"/>
        <v>2386.65</v>
      </c>
    </row>
    <row r="732" spans="1:8" x14ac:dyDescent="0.3">
      <c r="A732" s="17" t="s">
        <v>4</v>
      </c>
      <c r="B732" s="10" t="s">
        <v>23</v>
      </c>
      <c r="C732" s="11" t="s">
        <v>14</v>
      </c>
      <c r="D732" s="10" t="s">
        <v>21</v>
      </c>
      <c r="E732" s="12">
        <v>44130</v>
      </c>
      <c r="F732" s="31">
        <v>340.95</v>
      </c>
      <c r="G732" s="13">
        <v>4</v>
      </c>
      <c r="H732" s="31">
        <f t="shared" si="11"/>
        <v>1363.8</v>
      </c>
    </row>
    <row r="733" spans="1:8" x14ac:dyDescent="0.3">
      <c r="A733" s="9" t="s">
        <v>13</v>
      </c>
      <c r="B733" s="10" t="s">
        <v>26</v>
      </c>
      <c r="C733" s="11" t="s">
        <v>16</v>
      </c>
      <c r="D733" s="10" t="s">
        <v>20</v>
      </c>
      <c r="E733" s="12">
        <v>44478</v>
      </c>
      <c r="F733" s="31">
        <v>168.95</v>
      </c>
      <c r="G733" s="13">
        <v>12</v>
      </c>
      <c r="H733" s="31">
        <f t="shared" si="11"/>
        <v>2027.3999999999999</v>
      </c>
    </row>
    <row r="734" spans="1:8" x14ac:dyDescent="0.3">
      <c r="A734" s="9" t="s">
        <v>3</v>
      </c>
      <c r="B734" s="10" t="s">
        <v>26</v>
      </c>
      <c r="C734" s="11" t="s">
        <v>15</v>
      </c>
      <c r="D734" s="10" t="s">
        <v>19</v>
      </c>
      <c r="E734" s="12">
        <v>44506</v>
      </c>
      <c r="F734" s="31">
        <v>168.95</v>
      </c>
      <c r="G734" s="13">
        <v>7</v>
      </c>
      <c r="H734" s="31">
        <f t="shared" si="11"/>
        <v>1182.6499999999999</v>
      </c>
    </row>
    <row r="735" spans="1:8" x14ac:dyDescent="0.3">
      <c r="A735" s="9" t="s">
        <v>3</v>
      </c>
      <c r="B735" s="10" t="s">
        <v>27</v>
      </c>
      <c r="C735" s="11" t="s">
        <v>15</v>
      </c>
      <c r="D735" s="10" t="s">
        <v>21</v>
      </c>
      <c r="E735" s="12">
        <v>43860</v>
      </c>
      <c r="F735" s="31">
        <v>799.95</v>
      </c>
      <c r="G735" s="13">
        <v>10</v>
      </c>
      <c r="H735" s="31">
        <f t="shared" si="11"/>
        <v>7999.5</v>
      </c>
    </row>
    <row r="736" spans="1:8" x14ac:dyDescent="0.3">
      <c r="A736" s="9" t="s">
        <v>5</v>
      </c>
      <c r="B736" s="10" t="s">
        <v>25</v>
      </c>
      <c r="C736" s="11" t="s">
        <v>16</v>
      </c>
      <c r="D736" s="10" t="s">
        <v>18</v>
      </c>
      <c r="E736" s="12">
        <v>44048</v>
      </c>
      <c r="F736" s="31">
        <v>340.95</v>
      </c>
      <c r="G736" s="13">
        <v>15</v>
      </c>
      <c r="H736" s="31">
        <f t="shared" si="11"/>
        <v>5114.25</v>
      </c>
    </row>
    <row r="737" spans="1:8" x14ac:dyDescent="0.3">
      <c r="A737" s="17" t="s">
        <v>11</v>
      </c>
      <c r="B737" s="10" t="s">
        <v>24</v>
      </c>
      <c r="C737" s="11" t="s">
        <v>14</v>
      </c>
      <c r="D737" s="10" t="s">
        <v>22</v>
      </c>
      <c r="E737" s="12">
        <v>43930</v>
      </c>
      <c r="F737" s="31">
        <v>79.989999999999995</v>
      </c>
      <c r="G737" s="13">
        <v>13</v>
      </c>
      <c r="H737" s="31">
        <f t="shared" si="11"/>
        <v>1039.8699999999999</v>
      </c>
    </row>
    <row r="738" spans="1:8" x14ac:dyDescent="0.3">
      <c r="A738" s="9" t="s">
        <v>5</v>
      </c>
      <c r="B738" s="10" t="s">
        <v>24</v>
      </c>
      <c r="C738" s="11" t="s">
        <v>15</v>
      </c>
      <c r="D738" s="10" t="s">
        <v>20</v>
      </c>
      <c r="E738" s="12">
        <v>43939</v>
      </c>
      <c r="F738" s="31">
        <v>79.989999999999995</v>
      </c>
      <c r="G738" s="13">
        <v>12</v>
      </c>
      <c r="H738" s="31">
        <f t="shared" si="11"/>
        <v>959.87999999999988</v>
      </c>
    </row>
    <row r="739" spans="1:8" x14ac:dyDescent="0.3">
      <c r="A739" s="9" t="s">
        <v>5</v>
      </c>
      <c r="B739" s="10" t="s">
        <v>23</v>
      </c>
      <c r="C739" s="11" t="s">
        <v>15</v>
      </c>
      <c r="D739" s="10" t="s">
        <v>20</v>
      </c>
      <c r="E739" s="12">
        <v>44206</v>
      </c>
      <c r="F739" s="31">
        <v>340.95</v>
      </c>
      <c r="G739" s="13">
        <v>11</v>
      </c>
      <c r="H739" s="31">
        <f t="shared" si="11"/>
        <v>3750.45</v>
      </c>
    </row>
    <row r="740" spans="1:8" x14ac:dyDescent="0.3">
      <c r="A740" s="17" t="s">
        <v>12</v>
      </c>
      <c r="B740" s="10" t="s">
        <v>24</v>
      </c>
      <c r="C740" s="11" t="s">
        <v>15</v>
      </c>
      <c r="D740" s="10" t="s">
        <v>21</v>
      </c>
      <c r="E740" s="12">
        <v>44112</v>
      </c>
      <c r="F740" s="31">
        <v>79.989999999999995</v>
      </c>
      <c r="G740" s="13">
        <v>4</v>
      </c>
      <c r="H740" s="31">
        <f t="shared" si="11"/>
        <v>319.95999999999998</v>
      </c>
    </row>
    <row r="741" spans="1:8" x14ac:dyDescent="0.3">
      <c r="A741" s="17" t="s">
        <v>12</v>
      </c>
      <c r="B741" s="10" t="s">
        <v>24</v>
      </c>
      <c r="C741" s="11" t="s">
        <v>15</v>
      </c>
      <c r="D741" s="10" t="s">
        <v>19</v>
      </c>
      <c r="E741" s="12">
        <v>44007</v>
      </c>
      <c r="F741" s="31">
        <v>79.989999999999995</v>
      </c>
      <c r="G741" s="13">
        <v>10</v>
      </c>
      <c r="H741" s="31">
        <f t="shared" si="11"/>
        <v>799.9</v>
      </c>
    </row>
    <row r="742" spans="1:8" x14ac:dyDescent="0.3">
      <c r="A742" s="17" t="s">
        <v>8</v>
      </c>
      <c r="B742" s="10" t="s">
        <v>25</v>
      </c>
      <c r="C742" s="11" t="s">
        <v>17</v>
      </c>
      <c r="D742" s="10" t="s">
        <v>19</v>
      </c>
      <c r="E742" s="12">
        <v>44031</v>
      </c>
      <c r="F742" s="31">
        <v>340.95</v>
      </c>
      <c r="G742" s="13">
        <v>2</v>
      </c>
      <c r="H742" s="31">
        <f t="shared" si="11"/>
        <v>681.9</v>
      </c>
    </row>
    <row r="743" spans="1:8" x14ac:dyDescent="0.3">
      <c r="A743" s="17" t="s">
        <v>11</v>
      </c>
      <c r="B743" s="10" t="s">
        <v>24</v>
      </c>
      <c r="C743" s="11" t="s">
        <v>14</v>
      </c>
      <c r="D743" s="10" t="s">
        <v>19</v>
      </c>
      <c r="E743" s="12">
        <v>44476</v>
      </c>
      <c r="F743" s="31">
        <v>79.989999999999995</v>
      </c>
      <c r="G743" s="13">
        <v>15</v>
      </c>
      <c r="H743" s="31">
        <f t="shared" si="11"/>
        <v>1199.8499999999999</v>
      </c>
    </row>
    <row r="744" spans="1:8" x14ac:dyDescent="0.3">
      <c r="A744" s="17" t="s">
        <v>6</v>
      </c>
      <c r="B744" s="10" t="s">
        <v>26</v>
      </c>
      <c r="C744" s="11" t="s">
        <v>14</v>
      </c>
      <c r="D744" s="10" t="s">
        <v>20</v>
      </c>
      <c r="E744" s="12">
        <v>44195</v>
      </c>
      <c r="F744" s="31">
        <v>168.95</v>
      </c>
      <c r="G744" s="13">
        <v>3</v>
      </c>
      <c r="H744" s="31">
        <f t="shared" si="11"/>
        <v>506.84999999999997</v>
      </c>
    </row>
    <row r="745" spans="1:8" x14ac:dyDescent="0.3">
      <c r="A745" s="9" t="s">
        <v>13</v>
      </c>
      <c r="B745" s="10" t="s">
        <v>23</v>
      </c>
      <c r="C745" s="11" t="s">
        <v>16</v>
      </c>
      <c r="D745" s="10" t="s">
        <v>19</v>
      </c>
      <c r="E745" s="12">
        <v>44220</v>
      </c>
      <c r="F745" s="31">
        <v>340.95</v>
      </c>
      <c r="G745" s="13">
        <v>11</v>
      </c>
      <c r="H745" s="31">
        <f t="shared" si="11"/>
        <v>3750.45</v>
      </c>
    </row>
    <row r="746" spans="1:8" x14ac:dyDescent="0.3">
      <c r="A746" s="9" t="s">
        <v>2</v>
      </c>
      <c r="B746" s="10" t="s">
        <v>27</v>
      </c>
      <c r="C746" s="11" t="s">
        <v>14</v>
      </c>
      <c r="D746" s="10" t="s">
        <v>20</v>
      </c>
      <c r="E746" s="12">
        <v>44249</v>
      </c>
      <c r="F746" s="31">
        <v>799.95</v>
      </c>
      <c r="G746" s="13">
        <v>13</v>
      </c>
      <c r="H746" s="31">
        <f t="shared" si="11"/>
        <v>10399.35</v>
      </c>
    </row>
    <row r="747" spans="1:8" x14ac:dyDescent="0.3">
      <c r="A747" s="17" t="s">
        <v>12</v>
      </c>
      <c r="B747" s="10" t="s">
        <v>25</v>
      </c>
      <c r="C747" s="11" t="s">
        <v>15</v>
      </c>
      <c r="D747" s="10" t="s">
        <v>18</v>
      </c>
      <c r="E747" s="12">
        <v>43993</v>
      </c>
      <c r="F747" s="31">
        <v>340.95</v>
      </c>
      <c r="G747" s="13">
        <v>13</v>
      </c>
      <c r="H747" s="31">
        <f t="shared" si="11"/>
        <v>4432.3499999999995</v>
      </c>
    </row>
    <row r="748" spans="1:8" x14ac:dyDescent="0.3">
      <c r="A748" s="9" t="s">
        <v>3</v>
      </c>
      <c r="B748" s="10" t="s">
        <v>27</v>
      </c>
      <c r="C748" s="11" t="s">
        <v>15</v>
      </c>
      <c r="D748" s="10" t="s">
        <v>22</v>
      </c>
      <c r="E748" s="12">
        <v>43923</v>
      </c>
      <c r="F748" s="31">
        <v>799.95</v>
      </c>
      <c r="G748" s="13">
        <v>7</v>
      </c>
      <c r="H748" s="31">
        <f t="shared" si="11"/>
        <v>5599.6500000000005</v>
      </c>
    </row>
    <row r="749" spans="1:8" x14ac:dyDescent="0.3">
      <c r="A749" s="17" t="s">
        <v>4</v>
      </c>
      <c r="B749" s="10" t="s">
        <v>27</v>
      </c>
      <c r="C749" s="11" t="s">
        <v>14</v>
      </c>
      <c r="D749" s="10" t="s">
        <v>19</v>
      </c>
      <c r="E749" s="12">
        <v>43903</v>
      </c>
      <c r="F749" s="31">
        <v>799.95</v>
      </c>
      <c r="G749" s="13">
        <v>8</v>
      </c>
      <c r="H749" s="31">
        <f t="shared" si="11"/>
        <v>6399.6</v>
      </c>
    </row>
    <row r="750" spans="1:8" x14ac:dyDescent="0.3">
      <c r="A750" s="17" t="s">
        <v>4</v>
      </c>
      <c r="B750" s="10" t="s">
        <v>27</v>
      </c>
      <c r="C750" s="11" t="s">
        <v>14</v>
      </c>
      <c r="D750" s="10" t="s">
        <v>20</v>
      </c>
      <c r="E750" s="12">
        <v>43950</v>
      </c>
      <c r="F750" s="31">
        <v>799.95</v>
      </c>
      <c r="G750" s="13">
        <v>8</v>
      </c>
      <c r="H750" s="31">
        <f t="shared" si="11"/>
        <v>6399.6</v>
      </c>
    </row>
    <row r="751" spans="1:8" x14ac:dyDescent="0.3">
      <c r="A751" s="9" t="s">
        <v>13</v>
      </c>
      <c r="B751" s="10" t="s">
        <v>27</v>
      </c>
      <c r="C751" s="11" t="s">
        <v>16</v>
      </c>
      <c r="D751" s="10" t="s">
        <v>19</v>
      </c>
      <c r="E751" s="12">
        <v>43862</v>
      </c>
      <c r="F751" s="31">
        <v>799.95</v>
      </c>
      <c r="G751" s="13">
        <v>5</v>
      </c>
      <c r="H751" s="31">
        <f t="shared" si="11"/>
        <v>3999.75</v>
      </c>
    </row>
    <row r="752" spans="1:8" x14ac:dyDescent="0.3">
      <c r="A752" s="17" t="s">
        <v>11</v>
      </c>
      <c r="B752" s="10" t="s">
        <v>23</v>
      </c>
      <c r="C752" s="11" t="s">
        <v>14</v>
      </c>
      <c r="D752" s="10" t="s">
        <v>21</v>
      </c>
      <c r="E752" s="12">
        <v>43920</v>
      </c>
      <c r="F752" s="31">
        <v>340.95</v>
      </c>
      <c r="G752" s="13">
        <v>15</v>
      </c>
      <c r="H752" s="31">
        <f t="shared" si="11"/>
        <v>5114.25</v>
      </c>
    </row>
    <row r="753" spans="1:8" x14ac:dyDescent="0.3">
      <c r="A753" s="17" t="s">
        <v>8</v>
      </c>
      <c r="B753" s="10" t="s">
        <v>26</v>
      </c>
      <c r="C753" s="11" t="s">
        <v>17</v>
      </c>
      <c r="D753" s="10" t="s">
        <v>21</v>
      </c>
      <c r="E753" s="12">
        <v>43894</v>
      </c>
      <c r="F753" s="31">
        <v>168.95</v>
      </c>
      <c r="G753" s="13">
        <v>4</v>
      </c>
      <c r="H753" s="31">
        <f t="shared" si="11"/>
        <v>675.8</v>
      </c>
    </row>
    <row r="754" spans="1:8" x14ac:dyDescent="0.3">
      <c r="A754" s="17" t="s">
        <v>11</v>
      </c>
      <c r="B754" s="10" t="s">
        <v>23</v>
      </c>
      <c r="C754" s="11" t="s">
        <v>14</v>
      </c>
      <c r="D754" s="10" t="s">
        <v>18</v>
      </c>
      <c r="E754" s="12">
        <v>44077</v>
      </c>
      <c r="F754" s="31">
        <v>340.95</v>
      </c>
      <c r="G754" s="13">
        <v>11</v>
      </c>
      <c r="H754" s="31">
        <f t="shared" si="11"/>
        <v>3750.45</v>
      </c>
    </row>
    <row r="755" spans="1:8" x14ac:dyDescent="0.3">
      <c r="A755" s="9" t="s">
        <v>2</v>
      </c>
      <c r="B755" s="10" t="s">
        <v>23</v>
      </c>
      <c r="C755" s="11" t="s">
        <v>14</v>
      </c>
      <c r="D755" s="10" t="s">
        <v>18</v>
      </c>
      <c r="E755" s="12">
        <v>43919</v>
      </c>
      <c r="F755" s="31">
        <v>340.95</v>
      </c>
      <c r="G755" s="13">
        <v>20</v>
      </c>
      <c r="H755" s="31">
        <f t="shared" si="11"/>
        <v>6819</v>
      </c>
    </row>
    <row r="756" spans="1:8" x14ac:dyDescent="0.3">
      <c r="A756" s="9" t="s">
        <v>13</v>
      </c>
      <c r="B756" s="10" t="s">
        <v>26</v>
      </c>
      <c r="C756" s="11" t="s">
        <v>16</v>
      </c>
      <c r="D756" s="10" t="s">
        <v>19</v>
      </c>
      <c r="E756" s="12">
        <v>43881</v>
      </c>
      <c r="F756" s="31">
        <v>168.95</v>
      </c>
      <c r="G756" s="13">
        <v>8</v>
      </c>
      <c r="H756" s="31">
        <f t="shared" si="11"/>
        <v>1351.6</v>
      </c>
    </row>
    <row r="757" spans="1:8" x14ac:dyDescent="0.3">
      <c r="A757" s="9" t="s">
        <v>3</v>
      </c>
      <c r="B757" s="10" t="s">
        <v>26</v>
      </c>
      <c r="C757" s="11" t="s">
        <v>15</v>
      </c>
      <c r="D757" s="10" t="s">
        <v>18</v>
      </c>
      <c r="E757" s="12">
        <v>44204</v>
      </c>
      <c r="F757" s="31">
        <v>168.95</v>
      </c>
      <c r="G757" s="13">
        <v>20</v>
      </c>
      <c r="H757" s="31">
        <f t="shared" si="11"/>
        <v>3379</v>
      </c>
    </row>
    <row r="758" spans="1:8" x14ac:dyDescent="0.3">
      <c r="A758" s="9" t="s">
        <v>9</v>
      </c>
      <c r="B758" s="10" t="s">
        <v>24</v>
      </c>
      <c r="C758" s="11" t="s">
        <v>15</v>
      </c>
      <c r="D758" s="10" t="s">
        <v>19</v>
      </c>
      <c r="E758" s="12">
        <v>44158</v>
      </c>
      <c r="F758" s="31">
        <v>79.989999999999995</v>
      </c>
      <c r="G758" s="13">
        <v>4</v>
      </c>
      <c r="H758" s="31">
        <f t="shared" si="11"/>
        <v>319.95999999999998</v>
      </c>
    </row>
    <row r="759" spans="1:8" x14ac:dyDescent="0.3">
      <c r="A759" s="17" t="s">
        <v>12</v>
      </c>
      <c r="B759" s="10" t="s">
        <v>24</v>
      </c>
      <c r="C759" s="11" t="s">
        <v>15</v>
      </c>
      <c r="D759" s="10" t="s">
        <v>22</v>
      </c>
      <c r="E759" s="12">
        <v>43841</v>
      </c>
      <c r="F759" s="31">
        <v>79.989999999999995</v>
      </c>
      <c r="G759" s="13">
        <v>10</v>
      </c>
      <c r="H759" s="31">
        <f t="shared" si="11"/>
        <v>799.9</v>
      </c>
    </row>
    <row r="760" spans="1:8" x14ac:dyDescent="0.3">
      <c r="A760" s="9" t="s">
        <v>5</v>
      </c>
      <c r="B760" s="10" t="s">
        <v>26</v>
      </c>
      <c r="C760" s="11" t="s">
        <v>15</v>
      </c>
      <c r="D760" s="10" t="s">
        <v>21</v>
      </c>
      <c r="E760" s="12">
        <v>44342</v>
      </c>
      <c r="F760" s="31">
        <v>168.95</v>
      </c>
      <c r="G760" s="13">
        <v>14</v>
      </c>
      <c r="H760" s="31">
        <f t="shared" si="11"/>
        <v>2365.2999999999997</v>
      </c>
    </row>
    <row r="761" spans="1:8" x14ac:dyDescent="0.3">
      <c r="A761" s="9" t="s">
        <v>2</v>
      </c>
      <c r="B761" s="10" t="s">
        <v>23</v>
      </c>
      <c r="C761" s="11" t="s">
        <v>14</v>
      </c>
      <c r="D761" s="10" t="s">
        <v>19</v>
      </c>
      <c r="E761" s="12">
        <v>44294</v>
      </c>
      <c r="F761" s="31">
        <v>340.95</v>
      </c>
      <c r="G761" s="13">
        <v>10</v>
      </c>
      <c r="H761" s="31">
        <f t="shared" si="11"/>
        <v>3409.5</v>
      </c>
    </row>
    <row r="762" spans="1:8" x14ac:dyDescent="0.3">
      <c r="A762" s="17" t="s">
        <v>12</v>
      </c>
      <c r="B762" s="10" t="s">
        <v>23</v>
      </c>
      <c r="C762" s="11" t="s">
        <v>15</v>
      </c>
      <c r="D762" s="10" t="s">
        <v>20</v>
      </c>
      <c r="E762" s="12">
        <v>44395</v>
      </c>
      <c r="F762" s="31">
        <v>340.95</v>
      </c>
      <c r="G762" s="13">
        <v>3</v>
      </c>
      <c r="H762" s="31">
        <f t="shared" si="11"/>
        <v>1022.8499999999999</v>
      </c>
    </row>
    <row r="763" spans="1:8" x14ac:dyDescent="0.3">
      <c r="A763" s="9" t="s">
        <v>3</v>
      </c>
      <c r="B763" s="10" t="s">
        <v>23</v>
      </c>
      <c r="C763" s="11" t="s">
        <v>15</v>
      </c>
      <c r="D763" s="10" t="s">
        <v>19</v>
      </c>
      <c r="E763" s="12">
        <v>44163</v>
      </c>
      <c r="F763" s="31">
        <v>340.95</v>
      </c>
      <c r="G763" s="13">
        <v>9</v>
      </c>
      <c r="H763" s="31">
        <f t="shared" si="11"/>
        <v>3068.5499999999997</v>
      </c>
    </row>
    <row r="764" spans="1:8" x14ac:dyDescent="0.3">
      <c r="A764" s="9" t="s">
        <v>13</v>
      </c>
      <c r="B764" s="10" t="s">
        <v>24</v>
      </c>
      <c r="C764" s="11" t="s">
        <v>16</v>
      </c>
      <c r="D764" s="10" t="s">
        <v>20</v>
      </c>
      <c r="E764" s="12">
        <v>44077</v>
      </c>
      <c r="F764" s="31">
        <v>79.989999999999995</v>
      </c>
      <c r="G764" s="13">
        <v>3</v>
      </c>
      <c r="H764" s="31">
        <f t="shared" si="11"/>
        <v>239.96999999999997</v>
      </c>
    </row>
    <row r="765" spans="1:8" x14ac:dyDescent="0.3">
      <c r="A765" s="9" t="s">
        <v>5</v>
      </c>
      <c r="B765" s="10" t="s">
        <v>24</v>
      </c>
      <c r="C765" s="11" t="s">
        <v>15</v>
      </c>
      <c r="D765" s="10" t="s">
        <v>19</v>
      </c>
      <c r="E765" s="12">
        <v>44066</v>
      </c>
      <c r="F765" s="31">
        <v>79.989999999999995</v>
      </c>
      <c r="G765" s="13">
        <v>9</v>
      </c>
      <c r="H765" s="31">
        <f t="shared" si="11"/>
        <v>719.91</v>
      </c>
    </row>
    <row r="766" spans="1:8" x14ac:dyDescent="0.3">
      <c r="A766" s="17" t="s">
        <v>12</v>
      </c>
      <c r="B766" s="10" t="s">
        <v>26</v>
      </c>
      <c r="C766" s="11" t="s">
        <v>15</v>
      </c>
      <c r="D766" s="10" t="s">
        <v>20</v>
      </c>
      <c r="E766" s="12">
        <v>44049</v>
      </c>
      <c r="F766" s="31">
        <v>168.95</v>
      </c>
      <c r="G766" s="13">
        <v>15</v>
      </c>
      <c r="H766" s="31">
        <f t="shared" si="11"/>
        <v>2534.25</v>
      </c>
    </row>
    <row r="767" spans="1:8" x14ac:dyDescent="0.3">
      <c r="A767" s="9" t="s">
        <v>13</v>
      </c>
      <c r="B767" s="10" t="s">
        <v>26</v>
      </c>
      <c r="C767" s="11" t="s">
        <v>16</v>
      </c>
      <c r="D767" s="10" t="s">
        <v>20</v>
      </c>
      <c r="E767" s="12">
        <v>43945</v>
      </c>
      <c r="F767" s="31">
        <v>168.95</v>
      </c>
      <c r="G767" s="13">
        <v>12</v>
      </c>
      <c r="H767" s="31">
        <f t="shared" si="11"/>
        <v>2027.3999999999999</v>
      </c>
    </row>
    <row r="768" spans="1:8" x14ac:dyDescent="0.3">
      <c r="A768" s="9" t="s">
        <v>9</v>
      </c>
      <c r="B768" s="10" t="s">
        <v>25</v>
      </c>
      <c r="C768" s="11" t="s">
        <v>15</v>
      </c>
      <c r="D768" s="10" t="s">
        <v>20</v>
      </c>
      <c r="E768" s="12">
        <v>44134</v>
      </c>
      <c r="F768" s="31">
        <v>340.95</v>
      </c>
      <c r="G768" s="13">
        <v>5</v>
      </c>
      <c r="H768" s="31">
        <f t="shared" si="11"/>
        <v>1704.75</v>
      </c>
    </row>
    <row r="769" spans="1:8" x14ac:dyDescent="0.3">
      <c r="A769" s="9" t="s">
        <v>2</v>
      </c>
      <c r="B769" s="10" t="s">
        <v>24</v>
      </c>
      <c r="C769" s="11" t="s">
        <v>14</v>
      </c>
      <c r="D769" s="10" t="s">
        <v>20</v>
      </c>
      <c r="E769" s="12">
        <v>44401</v>
      </c>
      <c r="F769" s="31">
        <v>79.989999999999995</v>
      </c>
      <c r="G769" s="13">
        <v>2</v>
      </c>
      <c r="H769" s="31">
        <f t="shared" si="11"/>
        <v>159.97999999999999</v>
      </c>
    </row>
    <row r="770" spans="1:8" x14ac:dyDescent="0.3">
      <c r="A770" s="9" t="s">
        <v>5</v>
      </c>
      <c r="B770" s="10" t="s">
        <v>25</v>
      </c>
      <c r="C770" s="11" t="s">
        <v>16</v>
      </c>
      <c r="D770" s="10" t="s">
        <v>20</v>
      </c>
      <c r="E770" s="12">
        <v>44287</v>
      </c>
      <c r="F770" s="31">
        <v>340.95</v>
      </c>
      <c r="G770" s="13">
        <v>10</v>
      </c>
      <c r="H770" s="31">
        <f t="shared" ref="H770:H833" si="12">F770*G770</f>
        <v>3409.5</v>
      </c>
    </row>
    <row r="771" spans="1:8" x14ac:dyDescent="0.3">
      <c r="A771" s="17" t="s">
        <v>4</v>
      </c>
      <c r="B771" s="10" t="s">
        <v>27</v>
      </c>
      <c r="C771" s="11" t="s">
        <v>14</v>
      </c>
      <c r="D771" s="10" t="s">
        <v>21</v>
      </c>
      <c r="E771" s="12">
        <v>43982</v>
      </c>
      <c r="F771" s="31">
        <v>799.95</v>
      </c>
      <c r="G771" s="13">
        <v>5</v>
      </c>
      <c r="H771" s="31">
        <f t="shared" si="12"/>
        <v>3999.75</v>
      </c>
    </row>
    <row r="772" spans="1:8" x14ac:dyDescent="0.3">
      <c r="A772" s="9" t="s">
        <v>7</v>
      </c>
      <c r="B772" s="10" t="s">
        <v>25</v>
      </c>
      <c r="C772" s="11" t="s">
        <v>17</v>
      </c>
      <c r="D772" s="10" t="s">
        <v>19</v>
      </c>
      <c r="E772" s="12">
        <v>44507</v>
      </c>
      <c r="F772" s="31">
        <v>340.95</v>
      </c>
      <c r="G772" s="13">
        <v>6</v>
      </c>
      <c r="H772" s="31">
        <f t="shared" si="12"/>
        <v>2045.6999999999998</v>
      </c>
    </row>
    <row r="773" spans="1:8" x14ac:dyDescent="0.3">
      <c r="A773" s="17" t="s">
        <v>10</v>
      </c>
      <c r="B773" s="10" t="s">
        <v>24</v>
      </c>
      <c r="C773" s="11" t="s">
        <v>16</v>
      </c>
      <c r="D773" s="10" t="s">
        <v>19</v>
      </c>
      <c r="E773" s="12">
        <v>44266</v>
      </c>
      <c r="F773" s="31">
        <v>79.989999999999995</v>
      </c>
      <c r="G773" s="13">
        <v>2</v>
      </c>
      <c r="H773" s="31">
        <f t="shared" si="12"/>
        <v>159.97999999999999</v>
      </c>
    </row>
    <row r="774" spans="1:8" x14ac:dyDescent="0.3">
      <c r="A774" s="17" t="s">
        <v>11</v>
      </c>
      <c r="B774" s="10" t="s">
        <v>24</v>
      </c>
      <c r="C774" s="11" t="s">
        <v>14</v>
      </c>
      <c r="D774" s="10" t="s">
        <v>21</v>
      </c>
      <c r="E774" s="12">
        <v>44129</v>
      </c>
      <c r="F774" s="31">
        <v>79.989999999999995</v>
      </c>
      <c r="G774" s="13">
        <v>12</v>
      </c>
      <c r="H774" s="31">
        <f t="shared" si="12"/>
        <v>959.87999999999988</v>
      </c>
    </row>
    <row r="775" spans="1:8" x14ac:dyDescent="0.3">
      <c r="A775" s="17" t="s">
        <v>4</v>
      </c>
      <c r="B775" s="10" t="s">
        <v>26</v>
      </c>
      <c r="C775" s="11" t="s">
        <v>14</v>
      </c>
      <c r="D775" s="10" t="s">
        <v>20</v>
      </c>
      <c r="E775" s="12">
        <v>43952</v>
      </c>
      <c r="F775" s="31">
        <v>168.95</v>
      </c>
      <c r="G775" s="13">
        <v>12</v>
      </c>
      <c r="H775" s="31">
        <f t="shared" si="12"/>
        <v>2027.3999999999999</v>
      </c>
    </row>
    <row r="776" spans="1:8" x14ac:dyDescent="0.3">
      <c r="A776" s="17" t="s">
        <v>10</v>
      </c>
      <c r="B776" s="10" t="s">
        <v>25</v>
      </c>
      <c r="C776" s="11" t="s">
        <v>16</v>
      </c>
      <c r="D776" s="10" t="s">
        <v>19</v>
      </c>
      <c r="E776" s="12">
        <v>44266</v>
      </c>
      <c r="F776" s="31">
        <v>340.95</v>
      </c>
      <c r="G776" s="13">
        <v>2</v>
      </c>
      <c r="H776" s="31">
        <f t="shared" si="12"/>
        <v>681.9</v>
      </c>
    </row>
    <row r="777" spans="1:8" x14ac:dyDescent="0.3">
      <c r="A777" s="17" t="s">
        <v>11</v>
      </c>
      <c r="B777" s="10" t="s">
        <v>26</v>
      </c>
      <c r="C777" s="11" t="s">
        <v>14</v>
      </c>
      <c r="D777" s="10" t="s">
        <v>19</v>
      </c>
      <c r="E777" s="12">
        <v>44147</v>
      </c>
      <c r="F777" s="31">
        <v>168.95</v>
      </c>
      <c r="G777" s="13">
        <v>1</v>
      </c>
      <c r="H777" s="31">
        <f t="shared" si="12"/>
        <v>168.95</v>
      </c>
    </row>
    <row r="778" spans="1:8" x14ac:dyDescent="0.3">
      <c r="A778" s="9" t="s">
        <v>2</v>
      </c>
      <c r="B778" s="10" t="s">
        <v>23</v>
      </c>
      <c r="C778" s="11" t="s">
        <v>14</v>
      </c>
      <c r="D778" s="10" t="s">
        <v>21</v>
      </c>
      <c r="E778" s="12">
        <v>44088</v>
      </c>
      <c r="F778" s="31">
        <v>340.95</v>
      </c>
      <c r="G778" s="13">
        <v>5</v>
      </c>
      <c r="H778" s="31">
        <f t="shared" si="12"/>
        <v>1704.75</v>
      </c>
    </row>
    <row r="779" spans="1:8" x14ac:dyDescent="0.3">
      <c r="A779" s="9" t="s">
        <v>7</v>
      </c>
      <c r="B779" s="10" t="s">
        <v>23</v>
      </c>
      <c r="C779" s="11" t="s">
        <v>17</v>
      </c>
      <c r="D779" s="10" t="s">
        <v>18</v>
      </c>
      <c r="E779" s="12">
        <v>43971</v>
      </c>
      <c r="F779" s="31">
        <v>340.95</v>
      </c>
      <c r="G779" s="13">
        <v>15</v>
      </c>
      <c r="H779" s="31">
        <f t="shared" si="12"/>
        <v>5114.25</v>
      </c>
    </row>
    <row r="780" spans="1:8" x14ac:dyDescent="0.3">
      <c r="A780" s="9" t="s">
        <v>2</v>
      </c>
      <c r="B780" s="10" t="s">
        <v>23</v>
      </c>
      <c r="C780" s="11" t="s">
        <v>14</v>
      </c>
      <c r="D780" s="10" t="s">
        <v>21</v>
      </c>
      <c r="E780" s="12">
        <v>43974</v>
      </c>
      <c r="F780" s="31">
        <v>340.95</v>
      </c>
      <c r="G780" s="13">
        <v>3</v>
      </c>
      <c r="H780" s="31">
        <f t="shared" si="12"/>
        <v>1022.8499999999999</v>
      </c>
    </row>
    <row r="781" spans="1:8" x14ac:dyDescent="0.3">
      <c r="A781" s="17" t="s">
        <v>12</v>
      </c>
      <c r="B781" s="10" t="s">
        <v>24</v>
      </c>
      <c r="C781" s="11" t="s">
        <v>15</v>
      </c>
      <c r="D781" s="10" t="s">
        <v>20</v>
      </c>
      <c r="E781" s="12">
        <v>44083</v>
      </c>
      <c r="F781" s="31">
        <v>79.989999999999995</v>
      </c>
      <c r="G781" s="13">
        <v>1</v>
      </c>
      <c r="H781" s="31">
        <f t="shared" si="12"/>
        <v>79.989999999999995</v>
      </c>
    </row>
    <row r="782" spans="1:8" x14ac:dyDescent="0.3">
      <c r="A782" s="17" t="s">
        <v>12</v>
      </c>
      <c r="B782" s="10" t="s">
        <v>24</v>
      </c>
      <c r="C782" s="11" t="s">
        <v>15</v>
      </c>
      <c r="D782" s="10" t="s">
        <v>19</v>
      </c>
      <c r="E782" s="12">
        <v>44406</v>
      </c>
      <c r="F782" s="31">
        <v>79.989999999999995</v>
      </c>
      <c r="G782" s="13">
        <v>10</v>
      </c>
      <c r="H782" s="31">
        <f t="shared" si="12"/>
        <v>799.9</v>
      </c>
    </row>
    <row r="783" spans="1:8" x14ac:dyDescent="0.3">
      <c r="A783" s="17" t="s">
        <v>11</v>
      </c>
      <c r="B783" s="10" t="s">
        <v>27</v>
      </c>
      <c r="C783" s="11" t="s">
        <v>14</v>
      </c>
      <c r="D783" s="10" t="s">
        <v>21</v>
      </c>
      <c r="E783" s="12">
        <v>44084</v>
      </c>
      <c r="F783" s="31">
        <v>799.95</v>
      </c>
      <c r="G783" s="13">
        <v>14</v>
      </c>
      <c r="H783" s="31">
        <f t="shared" si="12"/>
        <v>11199.300000000001</v>
      </c>
    </row>
    <row r="784" spans="1:8" x14ac:dyDescent="0.3">
      <c r="A784" s="9" t="s">
        <v>13</v>
      </c>
      <c r="B784" s="10" t="s">
        <v>25</v>
      </c>
      <c r="C784" s="11" t="s">
        <v>16</v>
      </c>
      <c r="D784" s="10" t="s">
        <v>20</v>
      </c>
      <c r="E784" s="12">
        <v>44347</v>
      </c>
      <c r="F784" s="31">
        <v>340.95</v>
      </c>
      <c r="G784" s="13">
        <v>9</v>
      </c>
      <c r="H784" s="31">
        <f t="shared" si="12"/>
        <v>3068.5499999999997</v>
      </c>
    </row>
    <row r="785" spans="1:8" x14ac:dyDescent="0.3">
      <c r="A785" s="17" t="s">
        <v>10</v>
      </c>
      <c r="B785" s="10" t="s">
        <v>23</v>
      </c>
      <c r="C785" s="11" t="s">
        <v>16</v>
      </c>
      <c r="D785" s="10" t="s">
        <v>19</v>
      </c>
      <c r="E785" s="12">
        <v>44112</v>
      </c>
      <c r="F785" s="31">
        <v>340.95</v>
      </c>
      <c r="G785" s="13">
        <v>1</v>
      </c>
      <c r="H785" s="31">
        <f t="shared" si="12"/>
        <v>340.95</v>
      </c>
    </row>
    <row r="786" spans="1:8" x14ac:dyDescent="0.3">
      <c r="A786" s="9" t="s">
        <v>3</v>
      </c>
      <c r="B786" s="10" t="s">
        <v>27</v>
      </c>
      <c r="C786" s="11" t="s">
        <v>15</v>
      </c>
      <c r="D786" s="10" t="s">
        <v>19</v>
      </c>
      <c r="E786" s="12">
        <v>44483</v>
      </c>
      <c r="F786" s="31">
        <v>799.95</v>
      </c>
      <c r="G786" s="13">
        <v>3</v>
      </c>
      <c r="H786" s="31">
        <f t="shared" si="12"/>
        <v>2399.8500000000004</v>
      </c>
    </row>
    <row r="787" spans="1:8" x14ac:dyDescent="0.3">
      <c r="A787" s="9" t="s">
        <v>5</v>
      </c>
      <c r="B787" s="10" t="s">
        <v>26</v>
      </c>
      <c r="C787" s="11" t="s">
        <v>15</v>
      </c>
      <c r="D787" s="10" t="s">
        <v>22</v>
      </c>
      <c r="E787" s="12">
        <v>44139</v>
      </c>
      <c r="F787" s="31">
        <v>168.95</v>
      </c>
      <c r="G787" s="13">
        <v>2</v>
      </c>
      <c r="H787" s="31">
        <f t="shared" si="12"/>
        <v>337.9</v>
      </c>
    </row>
    <row r="788" spans="1:8" x14ac:dyDescent="0.3">
      <c r="A788" s="17" t="s">
        <v>4</v>
      </c>
      <c r="B788" s="10" t="s">
        <v>24</v>
      </c>
      <c r="C788" s="11" t="s">
        <v>14</v>
      </c>
      <c r="D788" s="10" t="s">
        <v>21</v>
      </c>
      <c r="E788" s="12">
        <v>44505</v>
      </c>
      <c r="F788" s="31">
        <v>79.989999999999995</v>
      </c>
      <c r="G788" s="13">
        <v>1</v>
      </c>
      <c r="H788" s="31">
        <f t="shared" si="12"/>
        <v>79.989999999999995</v>
      </c>
    </row>
    <row r="789" spans="1:8" x14ac:dyDescent="0.3">
      <c r="A789" s="17" t="s">
        <v>6</v>
      </c>
      <c r="B789" s="10" t="s">
        <v>26</v>
      </c>
      <c r="C789" s="11" t="s">
        <v>14</v>
      </c>
      <c r="D789" s="10" t="s">
        <v>20</v>
      </c>
      <c r="E789" s="12">
        <v>44546</v>
      </c>
      <c r="F789" s="31">
        <v>168.95</v>
      </c>
      <c r="G789" s="13">
        <v>5</v>
      </c>
      <c r="H789" s="31">
        <f t="shared" si="12"/>
        <v>844.75</v>
      </c>
    </row>
    <row r="790" spans="1:8" x14ac:dyDescent="0.3">
      <c r="A790" s="9" t="s">
        <v>2</v>
      </c>
      <c r="B790" s="10" t="s">
        <v>27</v>
      </c>
      <c r="C790" s="11" t="s">
        <v>14</v>
      </c>
      <c r="D790" s="10" t="s">
        <v>22</v>
      </c>
      <c r="E790" s="12">
        <v>44039</v>
      </c>
      <c r="F790" s="31">
        <v>799.95</v>
      </c>
      <c r="G790" s="13">
        <v>2</v>
      </c>
      <c r="H790" s="31">
        <f t="shared" si="12"/>
        <v>1599.9</v>
      </c>
    </row>
    <row r="791" spans="1:8" x14ac:dyDescent="0.3">
      <c r="A791" s="17" t="s">
        <v>12</v>
      </c>
      <c r="B791" s="10" t="s">
        <v>23</v>
      </c>
      <c r="C791" s="11" t="s">
        <v>15</v>
      </c>
      <c r="D791" s="10" t="s">
        <v>20</v>
      </c>
      <c r="E791" s="12">
        <v>44424</v>
      </c>
      <c r="F791" s="31">
        <v>340.95</v>
      </c>
      <c r="G791" s="13">
        <v>15</v>
      </c>
      <c r="H791" s="31">
        <f t="shared" si="12"/>
        <v>5114.25</v>
      </c>
    </row>
    <row r="792" spans="1:8" x14ac:dyDescent="0.3">
      <c r="A792" s="17" t="s">
        <v>10</v>
      </c>
      <c r="B792" s="10" t="s">
        <v>27</v>
      </c>
      <c r="C792" s="11" t="s">
        <v>16</v>
      </c>
      <c r="D792" s="10" t="s">
        <v>22</v>
      </c>
      <c r="E792" s="12">
        <v>44405</v>
      </c>
      <c r="F792" s="31">
        <v>799.95</v>
      </c>
      <c r="G792" s="13">
        <v>10</v>
      </c>
      <c r="H792" s="31">
        <f t="shared" si="12"/>
        <v>7999.5</v>
      </c>
    </row>
    <row r="793" spans="1:8" x14ac:dyDescent="0.3">
      <c r="A793" s="9" t="s">
        <v>7</v>
      </c>
      <c r="B793" s="10" t="s">
        <v>26</v>
      </c>
      <c r="C793" s="11" t="s">
        <v>17</v>
      </c>
      <c r="D793" s="10" t="s">
        <v>21</v>
      </c>
      <c r="E793" s="12">
        <v>43926</v>
      </c>
      <c r="F793" s="31">
        <v>168.95</v>
      </c>
      <c r="G793" s="13">
        <v>14</v>
      </c>
      <c r="H793" s="31">
        <f t="shared" si="12"/>
        <v>2365.2999999999997</v>
      </c>
    </row>
    <row r="794" spans="1:8" x14ac:dyDescent="0.3">
      <c r="A794" s="17" t="s">
        <v>8</v>
      </c>
      <c r="B794" s="10" t="s">
        <v>23</v>
      </c>
      <c r="C794" s="11" t="s">
        <v>17</v>
      </c>
      <c r="D794" s="10" t="s">
        <v>20</v>
      </c>
      <c r="E794" s="12">
        <v>44448</v>
      </c>
      <c r="F794" s="31">
        <v>340.95</v>
      </c>
      <c r="G794" s="13">
        <v>8</v>
      </c>
      <c r="H794" s="31">
        <f t="shared" si="12"/>
        <v>2727.6</v>
      </c>
    </row>
    <row r="795" spans="1:8" x14ac:dyDescent="0.3">
      <c r="A795" s="9" t="s">
        <v>3</v>
      </c>
      <c r="B795" s="10" t="s">
        <v>27</v>
      </c>
      <c r="C795" s="11" t="s">
        <v>15</v>
      </c>
      <c r="D795" s="10" t="s">
        <v>20</v>
      </c>
      <c r="E795" s="12">
        <v>44000</v>
      </c>
      <c r="F795" s="31">
        <v>799.95</v>
      </c>
      <c r="G795" s="13">
        <v>3</v>
      </c>
      <c r="H795" s="31">
        <f t="shared" si="12"/>
        <v>2399.8500000000004</v>
      </c>
    </row>
    <row r="796" spans="1:8" x14ac:dyDescent="0.3">
      <c r="A796" s="9" t="s">
        <v>3</v>
      </c>
      <c r="B796" s="10" t="s">
        <v>24</v>
      </c>
      <c r="C796" s="11" t="s">
        <v>15</v>
      </c>
      <c r="D796" s="10" t="s">
        <v>22</v>
      </c>
      <c r="E796" s="12">
        <v>44043</v>
      </c>
      <c r="F796" s="31">
        <v>79.989999999999995</v>
      </c>
      <c r="G796" s="13">
        <v>10</v>
      </c>
      <c r="H796" s="31">
        <f t="shared" si="12"/>
        <v>799.9</v>
      </c>
    </row>
    <row r="797" spans="1:8" x14ac:dyDescent="0.3">
      <c r="A797" s="9" t="s">
        <v>13</v>
      </c>
      <c r="B797" s="10" t="s">
        <v>24</v>
      </c>
      <c r="C797" s="11" t="s">
        <v>16</v>
      </c>
      <c r="D797" s="10" t="s">
        <v>20</v>
      </c>
      <c r="E797" s="12">
        <v>44465</v>
      </c>
      <c r="F797" s="31">
        <v>79.989999999999995</v>
      </c>
      <c r="G797" s="13">
        <v>7</v>
      </c>
      <c r="H797" s="31">
        <f t="shared" si="12"/>
        <v>559.92999999999995</v>
      </c>
    </row>
    <row r="798" spans="1:8" x14ac:dyDescent="0.3">
      <c r="A798" s="9" t="s">
        <v>13</v>
      </c>
      <c r="B798" s="10" t="s">
        <v>27</v>
      </c>
      <c r="C798" s="11" t="s">
        <v>16</v>
      </c>
      <c r="D798" s="10" t="s">
        <v>18</v>
      </c>
      <c r="E798" s="12">
        <v>44104</v>
      </c>
      <c r="F798" s="31">
        <v>799.95</v>
      </c>
      <c r="G798" s="13">
        <v>6</v>
      </c>
      <c r="H798" s="31">
        <f t="shared" si="12"/>
        <v>4799.7000000000007</v>
      </c>
    </row>
    <row r="799" spans="1:8" x14ac:dyDescent="0.3">
      <c r="A799" s="17" t="s">
        <v>4</v>
      </c>
      <c r="B799" s="10" t="s">
        <v>27</v>
      </c>
      <c r="C799" s="11" t="s">
        <v>14</v>
      </c>
      <c r="D799" s="10" t="s">
        <v>20</v>
      </c>
      <c r="E799" s="12">
        <v>44302</v>
      </c>
      <c r="F799" s="31">
        <v>799.95</v>
      </c>
      <c r="G799" s="13">
        <v>9</v>
      </c>
      <c r="H799" s="31">
        <f t="shared" si="12"/>
        <v>7199.55</v>
      </c>
    </row>
    <row r="800" spans="1:8" x14ac:dyDescent="0.3">
      <c r="A800" s="17" t="s">
        <v>4</v>
      </c>
      <c r="B800" s="10" t="s">
        <v>24</v>
      </c>
      <c r="C800" s="11" t="s">
        <v>14</v>
      </c>
      <c r="D800" s="10" t="s">
        <v>20</v>
      </c>
      <c r="E800" s="12">
        <v>44534</v>
      </c>
      <c r="F800" s="31">
        <v>79.989999999999995</v>
      </c>
      <c r="G800" s="13">
        <v>5</v>
      </c>
      <c r="H800" s="31">
        <f t="shared" si="12"/>
        <v>399.95</v>
      </c>
    </row>
    <row r="801" spans="1:8" x14ac:dyDescent="0.3">
      <c r="A801" s="17" t="s">
        <v>12</v>
      </c>
      <c r="B801" s="10" t="s">
        <v>25</v>
      </c>
      <c r="C801" s="11" t="s">
        <v>15</v>
      </c>
      <c r="D801" s="10" t="s">
        <v>19</v>
      </c>
      <c r="E801" s="12">
        <v>44284</v>
      </c>
      <c r="F801" s="31">
        <v>340.95</v>
      </c>
      <c r="G801" s="13">
        <v>6</v>
      </c>
      <c r="H801" s="31">
        <f t="shared" si="12"/>
        <v>2045.6999999999998</v>
      </c>
    </row>
    <row r="802" spans="1:8" x14ac:dyDescent="0.3">
      <c r="A802" s="9" t="s">
        <v>13</v>
      </c>
      <c r="B802" s="10" t="s">
        <v>23</v>
      </c>
      <c r="C802" s="11" t="s">
        <v>16</v>
      </c>
      <c r="D802" s="10" t="s">
        <v>22</v>
      </c>
      <c r="E802" s="12">
        <v>43934</v>
      </c>
      <c r="F802" s="31">
        <v>340.95</v>
      </c>
      <c r="G802" s="13">
        <v>14</v>
      </c>
      <c r="H802" s="31">
        <f t="shared" si="12"/>
        <v>4773.3</v>
      </c>
    </row>
    <row r="803" spans="1:8" x14ac:dyDescent="0.3">
      <c r="A803" s="9" t="s">
        <v>13</v>
      </c>
      <c r="B803" s="10" t="s">
        <v>23</v>
      </c>
      <c r="C803" s="11" t="s">
        <v>16</v>
      </c>
      <c r="D803" s="10" t="s">
        <v>20</v>
      </c>
      <c r="E803" s="12">
        <v>44518</v>
      </c>
      <c r="F803" s="31">
        <v>340.95</v>
      </c>
      <c r="G803" s="13">
        <v>3</v>
      </c>
      <c r="H803" s="31">
        <f t="shared" si="12"/>
        <v>1022.8499999999999</v>
      </c>
    </row>
    <row r="804" spans="1:8" x14ac:dyDescent="0.3">
      <c r="A804" s="17" t="s">
        <v>12</v>
      </c>
      <c r="B804" s="10" t="s">
        <v>23</v>
      </c>
      <c r="C804" s="11" t="s">
        <v>15</v>
      </c>
      <c r="D804" s="10" t="s">
        <v>20</v>
      </c>
      <c r="E804" s="12">
        <v>44126</v>
      </c>
      <c r="F804" s="31">
        <v>340.95</v>
      </c>
      <c r="G804" s="13">
        <v>2</v>
      </c>
      <c r="H804" s="31">
        <f t="shared" si="12"/>
        <v>681.9</v>
      </c>
    </row>
    <row r="805" spans="1:8" x14ac:dyDescent="0.3">
      <c r="A805" s="17" t="s">
        <v>12</v>
      </c>
      <c r="B805" s="10" t="s">
        <v>27</v>
      </c>
      <c r="C805" s="11" t="s">
        <v>15</v>
      </c>
      <c r="D805" s="10" t="s">
        <v>19</v>
      </c>
      <c r="E805" s="12">
        <v>43951</v>
      </c>
      <c r="F805" s="31">
        <v>799.95</v>
      </c>
      <c r="G805" s="13">
        <v>2</v>
      </c>
      <c r="H805" s="31">
        <f t="shared" si="12"/>
        <v>1599.9</v>
      </c>
    </row>
    <row r="806" spans="1:8" x14ac:dyDescent="0.3">
      <c r="A806" s="17" t="s">
        <v>6</v>
      </c>
      <c r="B806" s="10" t="s">
        <v>23</v>
      </c>
      <c r="C806" s="11" t="s">
        <v>14</v>
      </c>
      <c r="D806" s="10" t="s">
        <v>18</v>
      </c>
      <c r="E806" s="12">
        <v>44119</v>
      </c>
      <c r="F806" s="31">
        <v>340.95</v>
      </c>
      <c r="G806" s="13">
        <v>13</v>
      </c>
      <c r="H806" s="31">
        <f t="shared" si="12"/>
        <v>4432.3499999999995</v>
      </c>
    </row>
    <row r="807" spans="1:8" x14ac:dyDescent="0.3">
      <c r="A807" s="17" t="s">
        <v>12</v>
      </c>
      <c r="B807" s="10" t="s">
        <v>23</v>
      </c>
      <c r="C807" s="11" t="s">
        <v>15</v>
      </c>
      <c r="D807" s="10" t="s">
        <v>22</v>
      </c>
      <c r="E807" s="12">
        <v>44169</v>
      </c>
      <c r="F807" s="31">
        <v>340.95</v>
      </c>
      <c r="G807" s="13">
        <v>15</v>
      </c>
      <c r="H807" s="31">
        <f t="shared" si="12"/>
        <v>5114.25</v>
      </c>
    </row>
    <row r="808" spans="1:8" x14ac:dyDescent="0.3">
      <c r="A808" s="17" t="s">
        <v>4</v>
      </c>
      <c r="B808" s="10" t="s">
        <v>27</v>
      </c>
      <c r="C808" s="11" t="s">
        <v>14</v>
      </c>
      <c r="D808" s="10" t="s">
        <v>19</v>
      </c>
      <c r="E808" s="12">
        <v>44532</v>
      </c>
      <c r="F808" s="31">
        <v>799.95</v>
      </c>
      <c r="G808" s="13">
        <v>15</v>
      </c>
      <c r="H808" s="31">
        <f t="shared" si="12"/>
        <v>11999.25</v>
      </c>
    </row>
    <row r="809" spans="1:8" x14ac:dyDescent="0.3">
      <c r="A809" s="17" t="s">
        <v>4</v>
      </c>
      <c r="B809" s="10" t="s">
        <v>23</v>
      </c>
      <c r="C809" s="11" t="s">
        <v>14</v>
      </c>
      <c r="D809" s="10" t="s">
        <v>20</v>
      </c>
      <c r="E809" s="12">
        <v>44554</v>
      </c>
      <c r="F809" s="31">
        <v>340.95</v>
      </c>
      <c r="G809" s="13">
        <v>15</v>
      </c>
      <c r="H809" s="31">
        <f t="shared" si="12"/>
        <v>5114.25</v>
      </c>
    </row>
    <row r="810" spans="1:8" x14ac:dyDescent="0.3">
      <c r="A810" s="9" t="s">
        <v>9</v>
      </c>
      <c r="B810" s="10" t="s">
        <v>26</v>
      </c>
      <c r="C810" s="11" t="s">
        <v>15</v>
      </c>
      <c r="D810" s="10" t="s">
        <v>22</v>
      </c>
      <c r="E810" s="12">
        <v>44197</v>
      </c>
      <c r="F810" s="31">
        <v>168.95</v>
      </c>
      <c r="G810" s="13">
        <v>4</v>
      </c>
      <c r="H810" s="31">
        <f t="shared" si="12"/>
        <v>675.8</v>
      </c>
    </row>
    <row r="811" spans="1:8" x14ac:dyDescent="0.3">
      <c r="A811" s="9" t="s">
        <v>3</v>
      </c>
      <c r="B811" s="10" t="s">
        <v>24</v>
      </c>
      <c r="C811" s="11" t="s">
        <v>15</v>
      </c>
      <c r="D811" s="10" t="s">
        <v>18</v>
      </c>
      <c r="E811" s="12">
        <v>43873</v>
      </c>
      <c r="F811" s="31">
        <v>79.989999999999995</v>
      </c>
      <c r="G811" s="13">
        <v>14</v>
      </c>
      <c r="H811" s="31">
        <f t="shared" si="12"/>
        <v>1119.8599999999999</v>
      </c>
    </row>
    <row r="812" spans="1:8" x14ac:dyDescent="0.3">
      <c r="A812" s="9" t="s">
        <v>5</v>
      </c>
      <c r="B812" s="10" t="s">
        <v>25</v>
      </c>
      <c r="C812" s="11" t="s">
        <v>16</v>
      </c>
      <c r="D812" s="10" t="s">
        <v>22</v>
      </c>
      <c r="E812" s="12">
        <v>44321</v>
      </c>
      <c r="F812" s="31">
        <v>340.95</v>
      </c>
      <c r="G812" s="13">
        <v>1</v>
      </c>
      <c r="H812" s="31">
        <f t="shared" si="12"/>
        <v>340.95</v>
      </c>
    </row>
    <row r="813" spans="1:8" x14ac:dyDescent="0.3">
      <c r="A813" s="17" t="s">
        <v>12</v>
      </c>
      <c r="B813" s="10" t="s">
        <v>26</v>
      </c>
      <c r="C813" s="11" t="s">
        <v>15</v>
      </c>
      <c r="D813" s="10" t="s">
        <v>21</v>
      </c>
      <c r="E813" s="12">
        <v>44228</v>
      </c>
      <c r="F813" s="31">
        <v>168.95</v>
      </c>
      <c r="G813" s="13">
        <v>4</v>
      </c>
      <c r="H813" s="31">
        <f t="shared" si="12"/>
        <v>675.8</v>
      </c>
    </row>
    <row r="814" spans="1:8" x14ac:dyDescent="0.3">
      <c r="A814" s="9" t="s">
        <v>13</v>
      </c>
      <c r="B814" s="10" t="s">
        <v>26</v>
      </c>
      <c r="C814" s="11" t="s">
        <v>16</v>
      </c>
      <c r="D814" s="10" t="s">
        <v>18</v>
      </c>
      <c r="E814" s="12">
        <v>44080</v>
      </c>
      <c r="F814" s="31">
        <v>168.95</v>
      </c>
      <c r="G814" s="13">
        <v>9</v>
      </c>
      <c r="H814" s="31">
        <f t="shared" si="12"/>
        <v>1520.55</v>
      </c>
    </row>
    <row r="815" spans="1:8" x14ac:dyDescent="0.3">
      <c r="A815" s="17" t="s">
        <v>11</v>
      </c>
      <c r="B815" s="10" t="s">
        <v>24</v>
      </c>
      <c r="C815" s="11" t="s">
        <v>14</v>
      </c>
      <c r="D815" s="10" t="s">
        <v>21</v>
      </c>
      <c r="E815" s="12">
        <v>44393</v>
      </c>
      <c r="F815" s="31">
        <v>79.989999999999995</v>
      </c>
      <c r="G815" s="13">
        <v>15</v>
      </c>
      <c r="H815" s="31">
        <f t="shared" si="12"/>
        <v>1199.8499999999999</v>
      </c>
    </row>
    <row r="816" spans="1:8" x14ac:dyDescent="0.3">
      <c r="A816" s="17" t="s">
        <v>4</v>
      </c>
      <c r="B816" s="10" t="s">
        <v>26</v>
      </c>
      <c r="C816" s="11" t="s">
        <v>14</v>
      </c>
      <c r="D816" s="10" t="s">
        <v>19</v>
      </c>
      <c r="E816" s="12">
        <v>44374</v>
      </c>
      <c r="F816" s="31">
        <v>168.95</v>
      </c>
      <c r="G816" s="13">
        <v>3</v>
      </c>
      <c r="H816" s="31">
        <f t="shared" si="12"/>
        <v>506.84999999999997</v>
      </c>
    </row>
    <row r="817" spans="1:8" x14ac:dyDescent="0.3">
      <c r="A817" s="9" t="s">
        <v>5</v>
      </c>
      <c r="B817" s="10" t="s">
        <v>24</v>
      </c>
      <c r="C817" s="11" t="s">
        <v>15</v>
      </c>
      <c r="D817" s="10" t="s">
        <v>19</v>
      </c>
      <c r="E817" s="12">
        <v>44339</v>
      </c>
      <c r="F817" s="31">
        <v>79.989999999999995</v>
      </c>
      <c r="G817" s="13">
        <v>2</v>
      </c>
      <c r="H817" s="31">
        <f t="shared" si="12"/>
        <v>159.97999999999999</v>
      </c>
    </row>
    <row r="818" spans="1:8" x14ac:dyDescent="0.3">
      <c r="A818" s="9" t="s">
        <v>2</v>
      </c>
      <c r="B818" s="10" t="s">
        <v>23</v>
      </c>
      <c r="C818" s="11" t="s">
        <v>14</v>
      </c>
      <c r="D818" s="10" t="s">
        <v>20</v>
      </c>
      <c r="E818" s="12">
        <v>44070</v>
      </c>
      <c r="F818" s="31">
        <v>340.95</v>
      </c>
      <c r="G818" s="13">
        <v>15</v>
      </c>
      <c r="H818" s="31">
        <f t="shared" si="12"/>
        <v>5114.25</v>
      </c>
    </row>
    <row r="819" spans="1:8" x14ac:dyDescent="0.3">
      <c r="A819" s="9" t="s">
        <v>13</v>
      </c>
      <c r="B819" s="10" t="s">
        <v>23</v>
      </c>
      <c r="C819" s="11" t="s">
        <v>16</v>
      </c>
      <c r="D819" s="10" t="s">
        <v>22</v>
      </c>
      <c r="E819" s="12">
        <v>44431</v>
      </c>
      <c r="F819" s="31">
        <v>340.95</v>
      </c>
      <c r="G819" s="13">
        <v>1</v>
      </c>
      <c r="H819" s="31">
        <f t="shared" si="12"/>
        <v>340.95</v>
      </c>
    </row>
    <row r="820" spans="1:8" x14ac:dyDescent="0.3">
      <c r="A820" s="9" t="s">
        <v>13</v>
      </c>
      <c r="B820" s="10" t="s">
        <v>27</v>
      </c>
      <c r="C820" s="11" t="s">
        <v>16</v>
      </c>
      <c r="D820" s="10" t="s">
        <v>21</v>
      </c>
      <c r="E820" s="12">
        <v>44016</v>
      </c>
      <c r="F820" s="31">
        <v>799.95</v>
      </c>
      <c r="G820" s="13">
        <v>11</v>
      </c>
      <c r="H820" s="31">
        <f t="shared" si="12"/>
        <v>8799.4500000000007</v>
      </c>
    </row>
    <row r="821" spans="1:8" x14ac:dyDescent="0.3">
      <c r="A821" s="17" t="s">
        <v>4</v>
      </c>
      <c r="B821" s="10" t="s">
        <v>23</v>
      </c>
      <c r="C821" s="11" t="s">
        <v>14</v>
      </c>
      <c r="D821" s="10" t="s">
        <v>21</v>
      </c>
      <c r="E821" s="12">
        <v>44192</v>
      </c>
      <c r="F821" s="31">
        <v>340.95</v>
      </c>
      <c r="G821" s="13">
        <v>3</v>
      </c>
      <c r="H821" s="31">
        <f t="shared" si="12"/>
        <v>1022.8499999999999</v>
      </c>
    </row>
    <row r="822" spans="1:8" x14ac:dyDescent="0.3">
      <c r="A822" s="9" t="s">
        <v>5</v>
      </c>
      <c r="B822" s="10" t="s">
        <v>27</v>
      </c>
      <c r="C822" s="11" t="s">
        <v>15</v>
      </c>
      <c r="D822" s="10" t="s">
        <v>18</v>
      </c>
      <c r="E822" s="12">
        <v>44270</v>
      </c>
      <c r="F822" s="31">
        <v>799.95</v>
      </c>
      <c r="G822" s="13">
        <v>8</v>
      </c>
      <c r="H822" s="31">
        <f t="shared" si="12"/>
        <v>6399.6</v>
      </c>
    </row>
    <row r="823" spans="1:8" x14ac:dyDescent="0.3">
      <c r="A823" s="9" t="s">
        <v>7</v>
      </c>
      <c r="B823" s="10" t="s">
        <v>25</v>
      </c>
      <c r="C823" s="11" t="s">
        <v>17</v>
      </c>
      <c r="D823" s="10" t="s">
        <v>18</v>
      </c>
      <c r="E823" s="12">
        <v>44038</v>
      </c>
      <c r="F823" s="31">
        <v>340.95</v>
      </c>
      <c r="G823" s="13">
        <v>12</v>
      </c>
      <c r="H823" s="31">
        <f t="shared" si="12"/>
        <v>4091.3999999999996</v>
      </c>
    </row>
    <row r="824" spans="1:8" x14ac:dyDescent="0.3">
      <c r="A824" s="17" t="s">
        <v>12</v>
      </c>
      <c r="B824" s="10" t="s">
        <v>25</v>
      </c>
      <c r="C824" s="11" t="s">
        <v>15</v>
      </c>
      <c r="D824" s="10" t="s">
        <v>19</v>
      </c>
      <c r="E824" s="12">
        <v>44182</v>
      </c>
      <c r="F824" s="31">
        <v>340.95</v>
      </c>
      <c r="G824" s="13">
        <v>2</v>
      </c>
      <c r="H824" s="31">
        <f t="shared" si="12"/>
        <v>681.9</v>
      </c>
    </row>
    <row r="825" spans="1:8" x14ac:dyDescent="0.3">
      <c r="A825" s="9" t="s">
        <v>9</v>
      </c>
      <c r="B825" s="10" t="s">
        <v>27</v>
      </c>
      <c r="C825" s="11" t="s">
        <v>15</v>
      </c>
      <c r="D825" s="10" t="s">
        <v>21</v>
      </c>
      <c r="E825" s="12">
        <v>44035</v>
      </c>
      <c r="F825" s="31">
        <v>799.95</v>
      </c>
      <c r="G825" s="13">
        <v>2</v>
      </c>
      <c r="H825" s="31">
        <f t="shared" si="12"/>
        <v>1599.9</v>
      </c>
    </row>
    <row r="826" spans="1:8" x14ac:dyDescent="0.3">
      <c r="A826" s="17" t="s">
        <v>12</v>
      </c>
      <c r="B826" s="10" t="s">
        <v>25</v>
      </c>
      <c r="C826" s="11" t="s">
        <v>15</v>
      </c>
      <c r="D826" s="10" t="s">
        <v>22</v>
      </c>
      <c r="E826" s="12">
        <v>44132</v>
      </c>
      <c r="F826" s="31">
        <v>340.95</v>
      </c>
      <c r="G826" s="13">
        <v>2</v>
      </c>
      <c r="H826" s="31">
        <f t="shared" si="12"/>
        <v>681.9</v>
      </c>
    </row>
    <row r="827" spans="1:8" x14ac:dyDescent="0.3">
      <c r="A827" s="17" t="s">
        <v>11</v>
      </c>
      <c r="B827" s="10" t="s">
        <v>25</v>
      </c>
      <c r="C827" s="11" t="s">
        <v>14</v>
      </c>
      <c r="D827" s="10" t="s">
        <v>18</v>
      </c>
      <c r="E827" s="12">
        <v>44282</v>
      </c>
      <c r="F827" s="31">
        <v>340.95</v>
      </c>
      <c r="G827" s="13">
        <v>18</v>
      </c>
      <c r="H827" s="31">
        <f t="shared" si="12"/>
        <v>6137.0999999999995</v>
      </c>
    </row>
    <row r="828" spans="1:8" x14ac:dyDescent="0.3">
      <c r="A828" s="17" t="s">
        <v>12</v>
      </c>
      <c r="B828" s="10" t="s">
        <v>23</v>
      </c>
      <c r="C828" s="11" t="s">
        <v>15</v>
      </c>
      <c r="D828" s="10" t="s">
        <v>21</v>
      </c>
      <c r="E828" s="12">
        <v>44424</v>
      </c>
      <c r="F828" s="31">
        <v>340.95</v>
      </c>
      <c r="G828" s="13">
        <v>9</v>
      </c>
      <c r="H828" s="31">
        <f t="shared" si="12"/>
        <v>3068.5499999999997</v>
      </c>
    </row>
    <row r="829" spans="1:8" x14ac:dyDescent="0.3">
      <c r="A829" s="17" t="s">
        <v>10</v>
      </c>
      <c r="B829" s="10" t="s">
        <v>27</v>
      </c>
      <c r="C829" s="11" t="s">
        <v>16</v>
      </c>
      <c r="D829" s="10" t="s">
        <v>19</v>
      </c>
      <c r="E829" s="12">
        <v>44035</v>
      </c>
      <c r="F829" s="31">
        <v>799.95</v>
      </c>
      <c r="G829" s="13">
        <v>15</v>
      </c>
      <c r="H829" s="31">
        <f t="shared" si="12"/>
        <v>11999.25</v>
      </c>
    </row>
    <row r="830" spans="1:8" x14ac:dyDescent="0.3">
      <c r="A830" s="9" t="s">
        <v>9</v>
      </c>
      <c r="B830" s="10" t="s">
        <v>23</v>
      </c>
      <c r="C830" s="11" t="s">
        <v>15</v>
      </c>
      <c r="D830" s="10" t="s">
        <v>18</v>
      </c>
      <c r="E830" s="12">
        <v>43930</v>
      </c>
      <c r="F830" s="31">
        <v>340.95</v>
      </c>
      <c r="G830" s="13">
        <v>18</v>
      </c>
      <c r="H830" s="31">
        <f t="shared" si="12"/>
        <v>6137.0999999999995</v>
      </c>
    </row>
    <row r="831" spans="1:8" x14ac:dyDescent="0.3">
      <c r="A831" s="9" t="s">
        <v>5</v>
      </c>
      <c r="B831" s="10" t="s">
        <v>27</v>
      </c>
      <c r="C831" s="11" t="s">
        <v>15</v>
      </c>
      <c r="D831" s="10" t="s">
        <v>22</v>
      </c>
      <c r="E831" s="12">
        <v>44150</v>
      </c>
      <c r="F831" s="31">
        <v>799.95</v>
      </c>
      <c r="G831" s="13">
        <v>3</v>
      </c>
      <c r="H831" s="31">
        <f t="shared" si="12"/>
        <v>2399.8500000000004</v>
      </c>
    </row>
    <row r="832" spans="1:8" x14ac:dyDescent="0.3">
      <c r="A832" s="9" t="s">
        <v>3</v>
      </c>
      <c r="B832" s="10" t="s">
        <v>24</v>
      </c>
      <c r="C832" s="11" t="s">
        <v>15</v>
      </c>
      <c r="D832" s="10" t="s">
        <v>21</v>
      </c>
      <c r="E832" s="12">
        <v>44038</v>
      </c>
      <c r="F832" s="31">
        <v>79.989999999999995</v>
      </c>
      <c r="G832" s="13">
        <v>9</v>
      </c>
      <c r="H832" s="31">
        <f t="shared" si="12"/>
        <v>719.91</v>
      </c>
    </row>
    <row r="833" spans="1:8" x14ac:dyDescent="0.3">
      <c r="A833" s="9" t="s">
        <v>2</v>
      </c>
      <c r="B833" s="10" t="s">
        <v>25</v>
      </c>
      <c r="C833" s="11" t="s">
        <v>14</v>
      </c>
      <c r="D833" s="10" t="s">
        <v>19</v>
      </c>
      <c r="E833" s="12">
        <v>44238</v>
      </c>
      <c r="F833" s="31">
        <v>340.95</v>
      </c>
      <c r="G833" s="13">
        <v>7</v>
      </c>
      <c r="H833" s="31">
        <f t="shared" si="12"/>
        <v>2386.65</v>
      </c>
    </row>
    <row r="834" spans="1:8" x14ac:dyDescent="0.3">
      <c r="A834" s="9" t="s">
        <v>9</v>
      </c>
      <c r="B834" s="10" t="s">
        <v>25</v>
      </c>
      <c r="C834" s="11" t="s">
        <v>15</v>
      </c>
      <c r="D834" s="10" t="s">
        <v>20</v>
      </c>
      <c r="E834" s="12">
        <v>44007</v>
      </c>
      <c r="F834" s="31">
        <v>340.95</v>
      </c>
      <c r="G834" s="13">
        <v>8</v>
      </c>
      <c r="H834" s="31">
        <f t="shared" ref="H834:H897" si="13">F834*G834</f>
        <v>2727.6</v>
      </c>
    </row>
    <row r="835" spans="1:8" x14ac:dyDescent="0.3">
      <c r="A835" s="9" t="s">
        <v>2</v>
      </c>
      <c r="B835" s="10" t="s">
        <v>23</v>
      </c>
      <c r="C835" s="11" t="s">
        <v>14</v>
      </c>
      <c r="D835" s="10" t="s">
        <v>22</v>
      </c>
      <c r="E835" s="12">
        <v>44009</v>
      </c>
      <c r="F835" s="31">
        <v>340.95</v>
      </c>
      <c r="G835" s="13">
        <v>2</v>
      </c>
      <c r="H835" s="31">
        <f t="shared" si="13"/>
        <v>681.9</v>
      </c>
    </row>
    <row r="836" spans="1:8" x14ac:dyDescent="0.3">
      <c r="A836" s="17" t="s">
        <v>12</v>
      </c>
      <c r="B836" s="10" t="s">
        <v>26</v>
      </c>
      <c r="C836" s="11" t="s">
        <v>15</v>
      </c>
      <c r="D836" s="10" t="s">
        <v>18</v>
      </c>
      <c r="E836" s="12">
        <v>44206</v>
      </c>
      <c r="F836" s="31">
        <v>168.95</v>
      </c>
      <c r="G836" s="13">
        <v>16</v>
      </c>
      <c r="H836" s="31">
        <f t="shared" si="13"/>
        <v>2703.2</v>
      </c>
    </row>
    <row r="837" spans="1:8" x14ac:dyDescent="0.3">
      <c r="A837" s="17" t="s">
        <v>8</v>
      </c>
      <c r="B837" s="10" t="s">
        <v>26</v>
      </c>
      <c r="C837" s="11" t="s">
        <v>17</v>
      </c>
      <c r="D837" s="10" t="s">
        <v>18</v>
      </c>
      <c r="E837" s="12">
        <v>44345</v>
      </c>
      <c r="F837" s="31">
        <v>168.95</v>
      </c>
      <c r="G837" s="13">
        <v>17</v>
      </c>
      <c r="H837" s="31">
        <f t="shared" si="13"/>
        <v>2872.1499999999996</v>
      </c>
    </row>
    <row r="838" spans="1:8" x14ac:dyDescent="0.3">
      <c r="A838" s="17" t="s">
        <v>10</v>
      </c>
      <c r="B838" s="10" t="s">
        <v>24</v>
      </c>
      <c r="C838" s="11" t="s">
        <v>16</v>
      </c>
      <c r="D838" s="10" t="s">
        <v>21</v>
      </c>
      <c r="E838" s="12">
        <v>44249</v>
      </c>
      <c r="F838" s="31">
        <v>79.989999999999995</v>
      </c>
      <c r="G838" s="13">
        <v>3</v>
      </c>
      <c r="H838" s="31">
        <f t="shared" si="13"/>
        <v>239.96999999999997</v>
      </c>
    </row>
    <row r="839" spans="1:8" x14ac:dyDescent="0.3">
      <c r="A839" s="17" t="s">
        <v>6</v>
      </c>
      <c r="B839" s="10" t="s">
        <v>26</v>
      </c>
      <c r="C839" s="11" t="s">
        <v>14</v>
      </c>
      <c r="D839" s="10" t="s">
        <v>22</v>
      </c>
      <c r="E839" s="12">
        <v>44520</v>
      </c>
      <c r="F839" s="31">
        <v>168.95</v>
      </c>
      <c r="G839" s="13">
        <v>3</v>
      </c>
      <c r="H839" s="31">
        <f t="shared" si="13"/>
        <v>506.84999999999997</v>
      </c>
    </row>
    <row r="840" spans="1:8" x14ac:dyDescent="0.3">
      <c r="A840" s="9" t="s">
        <v>13</v>
      </c>
      <c r="B840" s="10" t="s">
        <v>25</v>
      </c>
      <c r="C840" s="11" t="s">
        <v>16</v>
      </c>
      <c r="D840" s="10" t="s">
        <v>20</v>
      </c>
      <c r="E840" s="12">
        <v>44105</v>
      </c>
      <c r="F840" s="31">
        <v>340.95</v>
      </c>
      <c r="G840" s="13">
        <v>12</v>
      </c>
      <c r="H840" s="31">
        <f t="shared" si="13"/>
        <v>4091.3999999999996</v>
      </c>
    </row>
    <row r="841" spans="1:8" x14ac:dyDescent="0.3">
      <c r="A841" s="9" t="s">
        <v>3</v>
      </c>
      <c r="B841" s="10" t="s">
        <v>24</v>
      </c>
      <c r="C841" s="11" t="s">
        <v>15</v>
      </c>
      <c r="D841" s="10" t="s">
        <v>18</v>
      </c>
      <c r="E841" s="12">
        <v>43917</v>
      </c>
      <c r="F841" s="31">
        <v>79.989999999999995</v>
      </c>
      <c r="G841" s="13">
        <v>20</v>
      </c>
      <c r="H841" s="31">
        <f t="shared" si="13"/>
        <v>1599.8</v>
      </c>
    </row>
    <row r="842" spans="1:8" x14ac:dyDescent="0.3">
      <c r="A842" s="9" t="s">
        <v>3</v>
      </c>
      <c r="B842" s="10" t="s">
        <v>25</v>
      </c>
      <c r="C842" s="11" t="s">
        <v>15</v>
      </c>
      <c r="D842" s="10" t="s">
        <v>22</v>
      </c>
      <c r="E842" s="12">
        <v>44295</v>
      </c>
      <c r="F842" s="31">
        <v>340.95</v>
      </c>
      <c r="G842" s="13">
        <v>4</v>
      </c>
      <c r="H842" s="31">
        <f t="shared" si="13"/>
        <v>1363.8</v>
      </c>
    </row>
    <row r="843" spans="1:8" x14ac:dyDescent="0.3">
      <c r="A843" s="17" t="s">
        <v>6</v>
      </c>
      <c r="B843" s="10" t="s">
        <v>24</v>
      </c>
      <c r="C843" s="11" t="s">
        <v>14</v>
      </c>
      <c r="D843" s="10" t="s">
        <v>20</v>
      </c>
      <c r="E843" s="12">
        <v>44454</v>
      </c>
      <c r="F843" s="31">
        <v>79.989999999999995</v>
      </c>
      <c r="G843" s="13">
        <v>15</v>
      </c>
      <c r="H843" s="31">
        <f t="shared" si="13"/>
        <v>1199.8499999999999</v>
      </c>
    </row>
    <row r="844" spans="1:8" x14ac:dyDescent="0.3">
      <c r="A844" s="17" t="s">
        <v>8</v>
      </c>
      <c r="B844" s="10" t="s">
        <v>23</v>
      </c>
      <c r="C844" s="11" t="s">
        <v>17</v>
      </c>
      <c r="D844" s="10" t="s">
        <v>21</v>
      </c>
      <c r="E844" s="12">
        <v>44228</v>
      </c>
      <c r="F844" s="31">
        <v>340.95</v>
      </c>
      <c r="G844" s="13">
        <v>15</v>
      </c>
      <c r="H844" s="31">
        <f t="shared" si="13"/>
        <v>5114.25</v>
      </c>
    </row>
    <row r="845" spans="1:8" x14ac:dyDescent="0.3">
      <c r="A845" s="9" t="s">
        <v>5</v>
      </c>
      <c r="B845" s="10" t="s">
        <v>26</v>
      </c>
      <c r="C845" s="11" t="s">
        <v>15</v>
      </c>
      <c r="D845" s="10" t="s">
        <v>20</v>
      </c>
      <c r="E845" s="12">
        <v>44254</v>
      </c>
      <c r="F845" s="31">
        <v>168.95</v>
      </c>
      <c r="G845" s="13">
        <v>8</v>
      </c>
      <c r="H845" s="31">
        <f t="shared" si="13"/>
        <v>1351.6</v>
      </c>
    </row>
    <row r="846" spans="1:8" x14ac:dyDescent="0.3">
      <c r="A846" s="17" t="s">
        <v>10</v>
      </c>
      <c r="B846" s="10" t="s">
        <v>26</v>
      </c>
      <c r="C846" s="11" t="s">
        <v>16</v>
      </c>
      <c r="D846" s="10" t="s">
        <v>18</v>
      </c>
      <c r="E846" s="12">
        <v>44462</v>
      </c>
      <c r="F846" s="31">
        <v>168.95</v>
      </c>
      <c r="G846" s="13">
        <v>20</v>
      </c>
      <c r="H846" s="31">
        <f t="shared" si="13"/>
        <v>3379</v>
      </c>
    </row>
    <row r="847" spans="1:8" x14ac:dyDescent="0.3">
      <c r="A847" s="9" t="s">
        <v>2</v>
      </c>
      <c r="B847" s="10" t="s">
        <v>23</v>
      </c>
      <c r="C847" s="11" t="s">
        <v>14</v>
      </c>
      <c r="D847" s="10" t="s">
        <v>22</v>
      </c>
      <c r="E847" s="12">
        <v>44137</v>
      </c>
      <c r="F847" s="31">
        <v>340.95</v>
      </c>
      <c r="G847" s="13">
        <v>2</v>
      </c>
      <c r="H847" s="31">
        <f t="shared" si="13"/>
        <v>681.9</v>
      </c>
    </row>
    <row r="848" spans="1:8" x14ac:dyDescent="0.3">
      <c r="A848" s="17" t="s">
        <v>6</v>
      </c>
      <c r="B848" s="10" t="s">
        <v>25</v>
      </c>
      <c r="C848" s="11" t="s">
        <v>14</v>
      </c>
      <c r="D848" s="10" t="s">
        <v>21</v>
      </c>
      <c r="E848" s="12">
        <v>44415</v>
      </c>
      <c r="F848" s="31">
        <v>340.95</v>
      </c>
      <c r="G848" s="13">
        <v>10</v>
      </c>
      <c r="H848" s="31">
        <f t="shared" si="13"/>
        <v>3409.5</v>
      </c>
    </row>
    <row r="849" spans="1:8" x14ac:dyDescent="0.3">
      <c r="A849" s="17" t="s">
        <v>4</v>
      </c>
      <c r="B849" s="10" t="s">
        <v>25</v>
      </c>
      <c r="C849" s="11" t="s">
        <v>14</v>
      </c>
      <c r="D849" s="10" t="s">
        <v>19</v>
      </c>
      <c r="E849" s="12">
        <v>44487</v>
      </c>
      <c r="F849" s="31">
        <v>340.95</v>
      </c>
      <c r="G849" s="13">
        <v>8</v>
      </c>
      <c r="H849" s="31">
        <f t="shared" si="13"/>
        <v>2727.6</v>
      </c>
    </row>
    <row r="850" spans="1:8" x14ac:dyDescent="0.3">
      <c r="A850" s="9" t="s">
        <v>5</v>
      </c>
      <c r="B850" s="10" t="s">
        <v>26</v>
      </c>
      <c r="C850" s="11" t="s">
        <v>15</v>
      </c>
      <c r="D850" s="10" t="s">
        <v>22</v>
      </c>
      <c r="E850" s="12">
        <v>44342</v>
      </c>
      <c r="F850" s="31">
        <v>168.95</v>
      </c>
      <c r="G850" s="13">
        <v>13</v>
      </c>
      <c r="H850" s="31">
        <f t="shared" si="13"/>
        <v>2196.35</v>
      </c>
    </row>
    <row r="851" spans="1:8" x14ac:dyDescent="0.3">
      <c r="A851" s="17" t="s">
        <v>12</v>
      </c>
      <c r="B851" s="10" t="s">
        <v>23</v>
      </c>
      <c r="C851" s="11" t="s">
        <v>15</v>
      </c>
      <c r="D851" s="10" t="s">
        <v>22</v>
      </c>
      <c r="E851" s="12">
        <v>44028</v>
      </c>
      <c r="F851" s="31">
        <v>340.95</v>
      </c>
      <c r="G851" s="13">
        <v>13</v>
      </c>
      <c r="H851" s="31">
        <f t="shared" si="13"/>
        <v>4432.3499999999995</v>
      </c>
    </row>
    <row r="852" spans="1:8" x14ac:dyDescent="0.3">
      <c r="A852" s="17" t="s">
        <v>4</v>
      </c>
      <c r="B852" s="10" t="s">
        <v>27</v>
      </c>
      <c r="C852" s="11" t="s">
        <v>14</v>
      </c>
      <c r="D852" s="10" t="s">
        <v>22</v>
      </c>
      <c r="E852" s="12">
        <v>43916</v>
      </c>
      <c r="F852" s="31">
        <v>799.95</v>
      </c>
      <c r="G852" s="13">
        <v>8</v>
      </c>
      <c r="H852" s="31">
        <f t="shared" si="13"/>
        <v>6399.6</v>
      </c>
    </row>
    <row r="853" spans="1:8" x14ac:dyDescent="0.3">
      <c r="A853" s="9" t="s">
        <v>2</v>
      </c>
      <c r="B853" s="10" t="s">
        <v>27</v>
      </c>
      <c r="C853" s="11" t="s">
        <v>14</v>
      </c>
      <c r="D853" s="10" t="s">
        <v>20</v>
      </c>
      <c r="E853" s="12">
        <v>44207</v>
      </c>
      <c r="F853" s="31">
        <v>799.95</v>
      </c>
      <c r="G853" s="13">
        <v>7</v>
      </c>
      <c r="H853" s="31">
        <f t="shared" si="13"/>
        <v>5599.6500000000005</v>
      </c>
    </row>
    <row r="854" spans="1:8" x14ac:dyDescent="0.3">
      <c r="A854" s="9" t="s">
        <v>13</v>
      </c>
      <c r="B854" s="10" t="s">
        <v>26</v>
      </c>
      <c r="C854" s="11" t="s">
        <v>16</v>
      </c>
      <c r="D854" s="10" t="s">
        <v>18</v>
      </c>
      <c r="E854" s="12">
        <v>44048</v>
      </c>
      <c r="F854" s="31">
        <v>168.95</v>
      </c>
      <c r="G854" s="13">
        <v>20</v>
      </c>
      <c r="H854" s="31">
        <f t="shared" si="13"/>
        <v>3379</v>
      </c>
    </row>
    <row r="855" spans="1:8" x14ac:dyDescent="0.3">
      <c r="A855" s="9" t="s">
        <v>13</v>
      </c>
      <c r="B855" s="10" t="s">
        <v>24</v>
      </c>
      <c r="C855" s="11" t="s">
        <v>16</v>
      </c>
      <c r="D855" s="10" t="s">
        <v>21</v>
      </c>
      <c r="E855" s="12">
        <v>44454</v>
      </c>
      <c r="F855" s="31">
        <v>79.989999999999995</v>
      </c>
      <c r="G855" s="13">
        <v>7</v>
      </c>
      <c r="H855" s="31">
        <f t="shared" si="13"/>
        <v>559.92999999999995</v>
      </c>
    </row>
    <row r="856" spans="1:8" x14ac:dyDescent="0.3">
      <c r="A856" s="9" t="s">
        <v>3</v>
      </c>
      <c r="B856" s="10" t="s">
        <v>26</v>
      </c>
      <c r="C856" s="11" t="s">
        <v>15</v>
      </c>
      <c r="D856" s="10" t="s">
        <v>20</v>
      </c>
      <c r="E856" s="12">
        <v>44023</v>
      </c>
      <c r="F856" s="31">
        <v>168.95</v>
      </c>
      <c r="G856" s="13">
        <v>14</v>
      </c>
      <c r="H856" s="31">
        <f t="shared" si="13"/>
        <v>2365.2999999999997</v>
      </c>
    </row>
    <row r="857" spans="1:8" x14ac:dyDescent="0.3">
      <c r="A857" s="17" t="s">
        <v>8</v>
      </c>
      <c r="B857" s="10" t="s">
        <v>26</v>
      </c>
      <c r="C857" s="11" t="s">
        <v>17</v>
      </c>
      <c r="D857" s="10" t="s">
        <v>18</v>
      </c>
      <c r="E857" s="12">
        <v>44207</v>
      </c>
      <c r="F857" s="31">
        <v>168.95</v>
      </c>
      <c r="G857" s="13">
        <v>6</v>
      </c>
      <c r="H857" s="31">
        <f t="shared" si="13"/>
        <v>1013.6999999999999</v>
      </c>
    </row>
    <row r="858" spans="1:8" x14ac:dyDescent="0.3">
      <c r="A858" s="9" t="s">
        <v>3</v>
      </c>
      <c r="B858" s="10" t="s">
        <v>26</v>
      </c>
      <c r="C858" s="11" t="s">
        <v>15</v>
      </c>
      <c r="D858" s="10" t="s">
        <v>19</v>
      </c>
      <c r="E858" s="12">
        <v>44514</v>
      </c>
      <c r="F858" s="31">
        <v>168.95</v>
      </c>
      <c r="G858" s="13">
        <v>6</v>
      </c>
      <c r="H858" s="31">
        <f t="shared" si="13"/>
        <v>1013.6999999999999</v>
      </c>
    </row>
    <row r="859" spans="1:8" x14ac:dyDescent="0.3">
      <c r="A859" s="17" t="s">
        <v>11</v>
      </c>
      <c r="B859" s="10" t="s">
        <v>23</v>
      </c>
      <c r="C859" s="11" t="s">
        <v>14</v>
      </c>
      <c r="D859" s="10" t="s">
        <v>22</v>
      </c>
      <c r="E859" s="12">
        <v>44546</v>
      </c>
      <c r="F859" s="31">
        <v>340.95</v>
      </c>
      <c r="G859" s="13">
        <v>5</v>
      </c>
      <c r="H859" s="31">
        <f t="shared" si="13"/>
        <v>1704.75</v>
      </c>
    </row>
    <row r="860" spans="1:8" x14ac:dyDescent="0.3">
      <c r="A860" s="9" t="s">
        <v>3</v>
      </c>
      <c r="B860" s="10" t="s">
        <v>23</v>
      </c>
      <c r="C860" s="11" t="s">
        <v>15</v>
      </c>
      <c r="D860" s="10" t="s">
        <v>18</v>
      </c>
      <c r="E860" s="12">
        <v>44545</v>
      </c>
      <c r="F860" s="31">
        <v>340.95</v>
      </c>
      <c r="G860" s="13">
        <v>13</v>
      </c>
      <c r="H860" s="31">
        <f t="shared" si="13"/>
        <v>4432.3499999999995</v>
      </c>
    </row>
    <row r="861" spans="1:8" x14ac:dyDescent="0.3">
      <c r="A861" s="17" t="s">
        <v>10</v>
      </c>
      <c r="B861" s="10" t="s">
        <v>26</v>
      </c>
      <c r="C861" s="11" t="s">
        <v>16</v>
      </c>
      <c r="D861" s="10" t="s">
        <v>18</v>
      </c>
      <c r="E861" s="12">
        <v>44477</v>
      </c>
      <c r="F861" s="31">
        <v>168.95</v>
      </c>
      <c r="G861" s="13">
        <v>6</v>
      </c>
      <c r="H861" s="31">
        <f t="shared" si="13"/>
        <v>1013.6999999999999</v>
      </c>
    </row>
    <row r="862" spans="1:8" x14ac:dyDescent="0.3">
      <c r="A862" s="17" t="s">
        <v>12</v>
      </c>
      <c r="B862" s="10" t="s">
        <v>23</v>
      </c>
      <c r="C862" s="11" t="s">
        <v>15</v>
      </c>
      <c r="D862" s="10" t="s">
        <v>22</v>
      </c>
      <c r="E862" s="12">
        <v>44167</v>
      </c>
      <c r="F862" s="31">
        <v>340.95</v>
      </c>
      <c r="G862" s="13">
        <v>14</v>
      </c>
      <c r="H862" s="31">
        <f t="shared" si="13"/>
        <v>4773.3</v>
      </c>
    </row>
    <row r="863" spans="1:8" x14ac:dyDescent="0.3">
      <c r="A863" s="9" t="s">
        <v>3</v>
      </c>
      <c r="B863" s="10" t="s">
        <v>23</v>
      </c>
      <c r="C863" s="11" t="s">
        <v>15</v>
      </c>
      <c r="D863" s="10" t="s">
        <v>20</v>
      </c>
      <c r="E863" s="12">
        <v>44525</v>
      </c>
      <c r="F863" s="31">
        <v>340.95</v>
      </c>
      <c r="G863" s="13">
        <v>10</v>
      </c>
      <c r="H863" s="31">
        <f t="shared" si="13"/>
        <v>3409.5</v>
      </c>
    </row>
    <row r="864" spans="1:8" x14ac:dyDescent="0.3">
      <c r="A864" s="9" t="s">
        <v>2</v>
      </c>
      <c r="B864" s="10" t="s">
        <v>27</v>
      </c>
      <c r="C864" s="11" t="s">
        <v>14</v>
      </c>
      <c r="D864" s="10" t="s">
        <v>21</v>
      </c>
      <c r="E864" s="12">
        <v>43902</v>
      </c>
      <c r="F864" s="31">
        <v>799.95</v>
      </c>
      <c r="G864" s="13">
        <v>8</v>
      </c>
      <c r="H864" s="31">
        <f t="shared" si="13"/>
        <v>6399.6</v>
      </c>
    </row>
    <row r="865" spans="1:8" x14ac:dyDescent="0.3">
      <c r="A865" s="17" t="s">
        <v>4</v>
      </c>
      <c r="B865" s="10" t="s">
        <v>25</v>
      </c>
      <c r="C865" s="11" t="s">
        <v>14</v>
      </c>
      <c r="D865" s="10" t="s">
        <v>20</v>
      </c>
      <c r="E865" s="12">
        <v>43979</v>
      </c>
      <c r="F865" s="31">
        <v>340.95</v>
      </c>
      <c r="G865" s="13">
        <v>1</v>
      </c>
      <c r="H865" s="31">
        <f t="shared" si="13"/>
        <v>340.95</v>
      </c>
    </row>
    <row r="866" spans="1:8" x14ac:dyDescent="0.3">
      <c r="A866" s="9" t="s">
        <v>3</v>
      </c>
      <c r="B866" s="10" t="s">
        <v>27</v>
      </c>
      <c r="C866" s="11" t="s">
        <v>15</v>
      </c>
      <c r="D866" s="10" t="s">
        <v>22</v>
      </c>
      <c r="E866" s="12">
        <v>44410</v>
      </c>
      <c r="F866" s="31">
        <v>799.95</v>
      </c>
      <c r="G866" s="13">
        <v>7</v>
      </c>
      <c r="H866" s="31">
        <f t="shared" si="13"/>
        <v>5599.6500000000005</v>
      </c>
    </row>
    <row r="867" spans="1:8" x14ac:dyDescent="0.3">
      <c r="A867" s="17" t="s">
        <v>12</v>
      </c>
      <c r="B867" s="10" t="s">
        <v>27</v>
      </c>
      <c r="C867" s="11" t="s">
        <v>15</v>
      </c>
      <c r="D867" s="10" t="s">
        <v>21</v>
      </c>
      <c r="E867" s="12">
        <v>44368</v>
      </c>
      <c r="F867" s="31">
        <v>799.95</v>
      </c>
      <c r="G867" s="13">
        <v>12</v>
      </c>
      <c r="H867" s="31">
        <f t="shared" si="13"/>
        <v>9599.4000000000015</v>
      </c>
    </row>
    <row r="868" spans="1:8" x14ac:dyDescent="0.3">
      <c r="A868" s="17" t="s">
        <v>10</v>
      </c>
      <c r="B868" s="10" t="s">
        <v>26</v>
      </c>
      <c r="C868" s="11" t="s">
        <v>16</v>
      </c>
      <c r="D868" s="10" t="s">
        <v>20</v>
      </c>
      <c r="E868" s="12">
        <v>44384</v>
      </c>
      <c r="F868" s="31">
        <v>168.95</v>
      </c>
      <c r="G868" s="13">
        <v>3</v>
      </c>
      <c r="H868" s="31">
        <f t="shared" si="13"/>
        <v>506.84999999999997</v>
      </c>
    </row>
    <row r="869" spans="1:8" x14ac:dyDescent="0.3">
      <c r="A869" s="17" t="s">
        <v>6</v>
      </c>
      <c r="B869" s="10" t="s">
        <v>27</v>
      </c>
      <c r="C869" s="11" t="s">
        <v>14</v>
      </c>
      <c r="D869" s="10" t="s">
        <v>21</v>
      </c>
      <c r="E869" s="12">
        <v>44504</v>
      </c>
      <c r="F869" s="31">
        <v>799.95</v>
      </c>
      <c r="G869" s="13">
        <v>7</v>
      </c>
      <c r="H869" s="31">
        <f t="shared" si="13"/>
        <v>5599.6500000000005</v>
      </c>
    </row>
    <row r="870" spans="1:8" x14ac:dyDescent="0.3">
      <c r="A870" s="9" t="s">
        <v>7</v>
      </c>
      <c r="B870" s="10" t="s">
        <v>25</v>
      </c>
      <c r="C870" s="11" t="s">
        <v>17</v>
      </c>
      <c r="D870" s="10" t="s">
        <v>22</v>
      </c>
      <c r="E870" s="12">
        <v>44504</v>
      </c>
      <c r="F870" s="31">
        <v>340.95</v>
      </c>
      <c r="G870" s="13">
        <v>11</v>
      </c>
      <c r="H870" s="31">
        <f t="shared" si="13"/>
        <v>3750.45</v>
      </c>
    </row>
    <row r="871" spans="1:8" x14ac:dyDescent="0.3">
      <c r="A871" s="9" t="s">
        <v>7</v>
      </c>
      <c r="B871" s="10" t="s">
        <v>26</v>
      </c>
      <c r="C871" s="11" t="s">
        <v>17</v>
      </c>
      <c r="D871" s="10" t="s">
        <v>22</v>
      </c>
      <c r="E871" s="12">
        <v>43844</v>
      </c>
      <c r="F871" s="31">
        <v>168.95</v>
      </c>
      <c r="G871" s="13">
        <v>10</v>
      </c>
      <c r="H871" s="31">
        <f t="shared" si="13"/>
        <v>1689.5</v>
      </c>
    </row>
    <row r="872" spans="1:8" x14ac:dyDescent="0.3">
      <c r="A872" s="17" t="s">
        <v>4</v>
      </c>
      <c r="B872" s="10" t="s">
        <v>26</v>
      </c>
      <c r="C872" s="11" t="s">
        <v>14</v>
      </c>
      <c r="D872" s="10" t="s">
        <v>19</v>
      </c>
      <c r="E872" s="12">
        <v>44064</v>
      </c>
      <c r="F872" s="31">
        <v>168.95</v>
      </c>
      <c r="G872" s="13">
        <v>1</v>
      </c>
      <c r="H872" s="31">
        <f t="shared" si="13"/>
        <v>168.95</v>
      </c>
    </row>
    <row r="873" spans="1:8" x14ac:dyDescent="0.3">
      <c r="A873" s="9" t="s">
        <v>13</v>
      </c>
      <c r="B873" s="10" t="s">
        <v>23</v>
      </c>
      <c r="C873" s="11" t="s">
        <v>16</v>
      </c>
      <c r="D873" s="10" t="s">
        <v>18</v>
      </c>
      <c r="E873" s="12">
        <v>44168</v>
      </c>
      <c r="F873" s="31">
        <v>340.95</v>
      </c>
      <c r="G873" s="13">
        <v>13</v>
      </c>
      <c r="H873" s="31">
        <f t="shared" si="13"/>
        <v>4432.3499999999995</v>
      </c>
    </row>
    <row r="874" spans="1:8" x14ac:dyDescent="0.3">
      <c r="A874" s="17" t="s">
        <v>8</v>
      </c>
      <c r="B874" s="10" t="s">
        <v>26</v>
      </c>
      <c r="C874" s="11" t="s">
        <v>17</v>
      </c>
      <c r="D874" s="10" t="s">
        <v>19</v>
      </c>
      <c r="E874" s="12">
        <v>44545</v>
      </c>
      <c r="F874" s="31">
        <v>168.95</v>
      </c>
      <c r="G874" s="13">
        <v>6</v>
      </c>
      <c r="H874" s="31">
        <f t="shared" si="13"/>
        <v>1013.6999999999999</v>
      </c>
    </row>
    <row r="875" spans="1:8" x14ac:dyDescent="0.3">
      <c r="A875" s="9" t="s">
        <v>7</v>
      </c>
      <c r="B875" s="10" t="s">
        <v>25</v>
      </c>
      <c r="C875" s="11" t="s">
        <v>17</v>
      </c>
      <c r="D875" s="10" t="s">
        <v>22</v>
      </c>
      <c r="E875" s="12">
        <v>43883</v>
      </c>
      <c r="F875" s="31">
        <v>340.95</v>
      </c>
      <c r="G875" s="13">
        <v>2</v>
      </c>
      <c r="H875" s="31">
        <f t="shared" si="13"/>
        <v>681.9</v>
      </c>
    </row>
    <row r="876" spans="1:8" x14ac:dyDescent="0.3">
      <c r="A876" s="9" t="s">
        <v>3</v>
      </c>
      <c r="B876" s="10" t="s">
        <v>25</v>
      </c>
      <c r="C876" s="11" t="s">
        <v>15</v>
      </c>
      <c r="D876" s="10" t="s">
        <v>22</v>
      </c>
      <c r="E876" s="12">
        <v>44213</v>
      </c>
      <c r="F876" s="31">
        <v>340.95</v>
      </c>
      <c r="G876" s="13">
        <v>12</v>
      </c>
      <c r="H876" s="31">
        <f t="shared" si="13"/>
        <v>4091.3999999999996</v>
      </c>
    </row>
    <row r="877" spans="1:8" x14ac:dyDescent="0.3">
      <c r="A877" s="17" t="s">
        <v>11</v>
      </c>
      <c r="B877" s="10" t="s">
        <v>26</v>
      </c>
      <c r="C877" s="11" t="s">
        <v>14</v>
      </c>
      <c r="D877" s="10" t="s">
        <v>20</v>
      </c>
      <c r="E877" s="12">
        <v>43937</v>
      </c>
      <c r="F877" s="31">
        <v>168.95</v>
      </c>
      <c r="G877" s="13">
        <v>12</v>
      </c>
      <c r="H877" s="31">
        <f t="shared" si="13"/>
        <v>2027.3999999999999</v>
      </c>
    </row>
    <row r="878" spans="1:8" x14ac:dyDescent="0.3">
      <c r="A878" s="9" t="s">
        <v>5</v>
      </c>
      <c r="B878" s="10" t="s">
        <v>24</v>
      </c>
      <c r="C878" s="11" t="s">
        <v>15</v>
      </c>
      <c r="D878" s="10" t="s">
        <v>18</v>
      </c>
      <c r="E878" s="12">
        <v>43946</v>
      </c>
      <c r="F878" s="31">
        <v>79.989999999999995</v>
      </c>
      <c r="G878" s="13">
        <v>10</v>
      </c>
      <c r="H878" s="31">
        <f t="shared" si="13"/>
        <v>799.9</v>
      </c>
    </row>
    <row r="879" spans="1:8" x14ac:dyDescent="0.3">
      <c r="A879" s="17" t="s">
        <v>4</v>
      </c>
      <c r="B879" s="10" t="s">
        <v>24</v>
      </c>
      <c r="C879" s="11" t="s">
        <v>14</v>
      </c>
      <c r="D879" s="10" t="s">
        <v>22</v>
      </c>
      <c r="E879" s="12">
        <v>44008</v>
      </c>
      <c r="F879" s="31">
        <v>79.989999999999995</v>
      </c>
      <c r="G879" s="13">
        <v>11</v>
      </c>
      <c r="H879" s="31">
        <f t="shared" si="13"/>
        <v>879.89</v>
      </c>
    </row>
    <row r="880" spans="1:8" x14ac:dyDescent="0.3">
      <c r="A880" s="9" t="s">
        <v>3</v>
      </c>
      <c r="B880" s="10" t="s">
        <v>25</v>
      </c>
      <c r="C880" s="11" t="s">
        <v>15</v>
      </c>
      <c r="D880" s="10" t="s">
        <v>20</v>
      </c>
      <c r="E880" s="12">
        <v>44147</v>
      </c>
      <c r="F880" s="31">
        <v>340.95</v>
      </c>
      <c r="G880" s="13">
        <v>4</v>
      </c>
      <c r="H880" s="31">
        <f t="shared" si="13"/>
        <v>1363.8</v>
      </c>
    </row>
    <row r="881" spans="1:8" x14ac:dyDescent="0.3">
      <c r="A881" s="17" t="s">
        <v>8</v>
      </c>
      <c r="B881" s="10" t="s">
        <v>27</v>
      </c>
      <c r="C881" s="11" t="s">
        <v>17</v>
      </c>
      <c r="D881" s="10" t="s">
        <v>18</v>
      </c>
      <c r="E881" s="12">
        <v>44343</v>
      </c>
      <c r="F881" s="31">
        <v>799.95</v>
      </c>
      <c r="G881" s="13">
        <v>20</v>
      </c>
      <c r="H881" s="31">
        <f t="shared" si="13"/>
        <v>15999</v>
      </c>
    </row>
    <row r="882" spans="1:8" x14ac:dyDescent="0.3">
      <c r="A882" s="17" t="s">
        <v>4</v>
      </c>
      <c r="B882" s="10" t="s">
        <v>27</v>
      </c>
      <c r="C882" s="11" t="s">
        <v>14</v>
      </c>
      <c r="D882" s="10" t="s">
        <v>21</v>
      </c>
      <c r="E882" s="12">
        <v>44444</v>
      </c>
      <c r="F882" s="31">
        <v>799.95</v>
      </c>
      <c r="G882" s="13">
        <v>13</v>
      </c>
      <c r="H882" s="31">
        <f t="shared" si="13"/>
        <v>10399.35</v>
      </c>
    </row>
    <row r="883" spans="1:8" x14ac:dyDescent="0.3">
      <c r="A883" s="9" t="s">
        <v>3</v>
      </c>
      <c r="B883" s="10" t="s">
        <v>23</v>
      </c>
      <c r="C883" s="11" t="s">
        <v>15</v>
      </c>
      <c r="D883" s="10" t="s">
        <v>22</v>
      </c>
      <c r="E883" s="12">
        <v>44256</v>
      </c>
      <c r="F883" s="31">
        <v>340.95</v>
      </c>
      <c r="G883" s="13">
        <v>11</v>
      </c>
      <c r="H883" s="31">
        <f t="shared" si="13"/>
        <v>3750.45</v>
      </c>
    </row>
    <row r="884" spans="1:8" x14ac:dyDescent="0.3">
      <c r="A884" s="17" t="s">
        <v>4</v>
      </c>
      <c r="B884" s="10" t="s">
        <v>27</v>
      </c>
      <c r="C884" s="11" t="s">
        <v>14</v>
      </c>
      <c r="D884" s="10" t="s">
        <v>22</v>
      </c>
      <c r="E884" s="12">
        <v>44050</v>
      </c>
      <c r="F884" s="31">
        <v>799.95</v>
      </c>
      <c r="G884" s="13">
        <v>5</v>
      </c>
      <c r="H884" s="31">
        <f t="shared" si="13"/>
        <v>3999.75</v>
      </c>
    </row>
    <row r="885" spans="1:8" x14ac:dyDescent="0.3">
      <c r="A885" s="17" t="s">
        <v>4</v>
      </c>
      <c r="B885" s="10" t="s">
        <v>24</v>
      </c>
      <c r="C885" s="11" t="s">
        <v>14</v>
      </c>
      <c r="D885" s="10" t="s">
        <v>19</v>
      </c>
      <c r="E885" s="12">
        <v>43989</v>
      </c>
      <c r="F885" s="31">
        <v>79.989999999999995</v>
      </c>
      <c r="G885" s="13">
        <v>6</v>
      </c>
      <c r="H885" s="31">
        <f t="shared" si="13"/>
        <v>479.93999999999994</v>
      </c>
    </row>
    <row r="886" spans="1:8" x14ac:dyDescent="0.3">
      <c r="A886" s="9" t="s">
        <v>3</v>
      </c>
      <c r="B886" s="10" t="s">
        <v>25</v>
      </c>
      <c r="C886" s="11" t="s">
        <v>15</v>
      </c>
      <c r="D886" s="10" t="s">
        <v>20</v>
      </c>
      <c r="E886" s="12">
        <v>44342</v>
      </c>
      <c r="F886" s="31">
        <v>340.95</v>
      </c>
      <c r="G886" s="13">
        <v>10</v>
      </c>
      <c r="H886" s="31">
        <f t="shared" si="13"/>
        <v>3409.5</v>
      </c>
    </row>
    <row r="887" spans="1:8" x14ac:dyDescent="0.3">
      <c r="A887" s="9" t="s">
        <v>9</v>
      </c>
      <c r="B887" s="10" t="s">
        <v>27</v>
      </c>
      <c r="C887" s="11" t="s">
        <v>15</v>
      </c>
      <c r="D887" s="10" t="s">
        <v>19</v>
      </c>
      <c r="E887" s="12">
        <v>43882</v>
      </c>
      <c r="F887" s="31">
        <v>799.95</v>
      </c>
      <c r="G887" s="13">
        <v>14</v>
      </c>
      <c r="H887" s="31">
        <f t="shared" si="13"/>
        <v>11199.300000000001</v>
      </c>
    </row>
    <row r="888" spans="1:8" x14ac:dyDescent="0.3">
      <c r="A888" s="17" t="s">
        <v>4</v>
      </c>
      <c r="B888" s="10" t="s">
        <v>25</v>
      </c>
      <c r="C888" s="11" t="s">
        <v>14</v>
      </c>
      <c r="D888" s="10" t="s">
        <v>19</v>
      </c>
      <c r="E888" s="12">
        <v>44329</v>
      </c>
      <c r="F888" s="31">
        <v>340.95</v>
      </c>
      <c r="G888" s="13">
        <v>12</v>
      </c>
      <c r="H888" s="31">
        <f t="shared" si="13"/>
        <v>4091.3999999999996</v>
      </c>
    </row>
    <row r="889" spans="1:8" x14ac:dyDescent="0.3">
      <c r="A889" s="9" t="s">
        <v>3</v>
      </c>
      <c r="B889" s="10" t="s">
        <v>25</v>
      </c>
      <c r="C889" s="11" t="s">
        <v>15</v>
      </c>
      <c r="D889" s="10" t="s">
        <v>20</v>
      </c>
      <c r="E889" s="12">
        <v>44445</v>
      </c>
      <c r="F889" s="31">
        <v>340.95</v>
      </c>
      <c r="G889" s="13">
        <v>7</v>
      </c>
      <c r="H889" s="31">
        <f t="shared" si="13"/>
        <v>2386.65</v>
      </c>
    </row>
    <row r="890" spans="1:8" x14ac:dyDescent="0.3">
      <c r="A890" s="17" t="s">
        <v>11</v>
      </c>
      <c r="B890" s="10" t="s">
        <v>25</v>
      </c>
      <c r="C890" s="11" t="s">
        <v>14</v>
      </c>
      <c r="D890" s="10" t="s">
        <v>18</v>
      </c>
      <c r="E890" s="12">
        <v>43968</v>
      </c>
      <c r="F890" s="31">
        <v>340.95</v>
      </c>
      <c r="G890" s="13">
        <v>6</v>
      </c>
      <c r="H890" s="31">
        <f t="shared" si="13"/>
        <v>2045.6999999999998</v>
      </c>
    </row>
    <row r="891" spans="1:8" x14ac:dyDescent="0.3">
      <c r="A891" s="17" t="s">
        <v>4</v>
      </c>
      <c r="B891" s="10" t="s">
        <v>27</v>
      </c>
      <c r="C891" s="11" t="s">
        <v>14</v>
      </c>
      <c r="D891" s="10" t="s">
        <v>20</v>
      </c>
      <c r="E891" s="12">
        <v>44372</v>
      </c>
      <c r="F891" s="31">
        <v>799.95</v>
      </c>
      <c r="G891" s="13">
        <v>8</v>
      </c>
      <c r="H891" s="31">
        <f t="shared" si="13"/>
        <v>6399.6</v>
      </c>
    </row>
    <row r="892" spans="1:8" x14ac:dyDescent="0.3">
      <c r="A892" s="9" t="s">
        <v>13</v>
      </c>
      <c r="B892" s="10" t="s">
        <v>25</v>
      </c>
      <c r="C892" s="11" t="s">
        <v>16</v>
      </c>
      <c r="D892" s="10" t="s">
        <v>22</v>
      </c>
      <c r="E892" s="12">
        <v>44412</v>
      </c>
      <c r="F892" s="31">
        <v>340.95</v>
      </c>
      <c r="G892" s="13">
        <v>8</v>
      </c>
      <c r="H892" s="31">
        <f t="shared" si="13"/>
        <v>2727.6</v>
      </c>
    </row>
    <row r="893" spans="1:8" x14ac:dyDescent="0.3">
      <c r="A893" s="17" t="s">
        <v>12</v>
      </c>
      <c r="B893" s="10" t="s">
        <v>24</v>
      </c>
      <c r="C893" s="11" t="s">
        <v>15</v>
      </c>
      <c r="D893" s="10" t="s">
        <v>18</v>
      </c>
      <c r="E893" s="12">
        <v>44308</v>
      </c>
      <c r="F893" s="31">
        <v>79.989999999999995</v>
      </c>
      <c r="G893" s="13">
        <v>7</v>
      </c>
      <c r="H893" s="31">
        <f t="shared" si="13"/>
        <v>559.92999999999995</v>
      </c>
    </row>
    <row r="894" spans="1:8" x14ac:dyDescent="0.3">
      <c r="A894" s="17" t="s">
        <v>6</v>
      </c>
      <c r="B894" s="10" t="s">
        <v>24</v>
      </c>
      <c r="C894" s="11" t="s">
        <v>14</v>
      </c>
      <c r="D894" s="10" t="s">
        <v>18</v>
      </c>
      <c r="E894" s="12">
        <v>43853</v>
      </c>
      <c r="F894" s="31">
        <v>79.989999999999995</v>
      </c>
      <c r="G894" s="13">
        <v>20</v>
      </c>
      <c r="H894" s="31">
        <f t="shared" si="13"/>
        <v>1599.8</v>
      </c>
    </row>
    <row r="895" spans="1:8" x14ac:dyDescent="0.3">
      <c r="A895" s="17" t="s">
        <v>12</v>
      </c>
      <c r="B895" s="10" t="s">
        <v>24</v>
      </c>
      <c r="C895" s="11" t="s">
        <v>15</v>
      </c>
      <c r="D895" s="10" t="s">
        <v>18</v>
      </c>
      <c r="E895" s="12">
        <v>44174</v>
      </c>
      <c r="F895" s="31">
        <v>79.989999999999995</v>
      </c>
      <c r="G895" s="13">
        <v>13</v>
      </c>
      <c r="H895" s="31">
        <f t="shared" si="13"/>
        <v>1039.8699999999999</v>
      </c>
    </row>
    <row r="896" spans="1:8" x14ac:dyDescent="0.3">
      <c r="A896" s="9" t="s">
        <v>13</v>
      </c>
      <c r="B896" s="10" t="s">
        <v>23</v>
      </c>
      <c r="C896" s="11" t="s">
        <v>16</v>
      </c>
      <c r="D896" s="10" t="s">
        <v>19</v>
      </c>
      <c r="E896" s="12">
        <v>44282</v>
      </c>
      <c r="F896" s="31">
        <v>340.95</v>
      </c>
      <c r="G896" s="13">
        <v>4</v>
      </c>
      <c r="H896" s="31">
        <f t="shared" si="13"/>
        <v>1363.8</v>
      </c>
    </row>
    <row r="897" spans="1:8" x14ac:dyDescent="0.3">
      <c r="A897" s="9" t="s">
        <v>3</v>
      </c>
      <c r="B897" s="10" t="s">
        <v>27</v>
      </c>
      <c r="C897" s="11" t="s">
        <v>15</v>
      </c>
      <c r="D897" s="10" t="s">
        <v>19</v>
      </c>
      <c r="E897" s="12">
        <v>44526</v>
      </c>
      <c r="F897" s="31">
        <v>799.95</v>
      </c>
      <c r="G897" s="13">
        <v>6</v>
      </c>
      <c r="H897" s="31">
        <f t="shared" si="13"/>
        <v>4799.7000000000007</v>
      </c>
    </row>
    <row r="898" spans="1:8" x14ac:dyDescent="0.3">
      <c r="A898" s="9" t="s">
        <v>13</v>
      </c>
      <c r="B898" s="10" t="s">
        <v>23</v>
      </c>
      <c r="C898" s="11" t="s">
        <v>16</v>
      </c>
      <c r="D898" s="10" t="s">
        <v>20</v>
      </c>
      <c r="E898" s="12">
        <v>43930</v>
      </c>
      <c r="F898" s="31">
        <v>340.95</v>
      </c>
      <c r="G898" s="13">
        <v>6</v>
      </c>
      <c r="H898" s="31">
        <f t="shared" ref="H898:H910" si="14">F898*G898</f>
        <v>2045.6999999999998</v>
      </c>
    </row>
    <row r="899" spans="1:8" x14ac:dyDescent="0.3">
      <c r="A899" s="17" t="s">
        <v>11</v>
      </c>
      <c r="B899" s="10" t="s">
        <v>27</v>
      </c>
      <c r="C899" s="11" t="s">
        <v>14</v>
      </c>
      <c r="D899" s="10" t="s">
        <v>19</v>
      </c>
      <c r="E899" s="12">
        <v>43877</v>
      </c>
      <c r="F899" s="31">
        <v>799.95</v>
      </c>
      <c r="G899" s="13">
        <v>1</v>
      </c>
      <c r="H899" s="31">
        <f t="shared" si="14"/>
        <v>799.95</v>
      </c>
    </row>
    <row r="900" spans="1:8" x14ac:dyDescent="0.3">
      <c r="A900" s="17" t="s">
        <v>8</v>
      </c>
      <c r="B900" s="10" t="s">
        <v>23</v>
      </c>
      <c r="C900" s="11" t="s">
        <v>17</v>
      </c>
      <c r="D900" s="10" t="s">
        <v>19</v>
      </c>
      <c r="E900" s="12">
        <v>44214</v>
      </c>
      <c r="F900" s="31">
        <v>340.95</v>
      </c>
      <c r="G900" s="13">
        <v>10</v>
      </c>
      <c r="H900" s="31">
        <f t="shared" si="14"/>
        <v>3409.5</v>
      </c>
    </row>
    <row r="901" spans="1:8" x14ac:dyDescent="0.3">
      <c r="A901" s="17" t="s">
        <v>11</v>
      </c>
      <c r="B901" s="10" t="s">
        <v>27</v>
      </c>
      <c r="C901" s="11" t="s">
        <v>14</v>
      </c>
      <c r="D901" s="10" t="s">
        <v>22</v>
      </c>
      <c r="E901" s="12">
        <v>44524</v>
      </c>
      <c r="F901" s="31">
        <v>799.95</v>
      </c>
      <c r="G901" s="13">
        <v>1</v>
      </c>
      <c r="H901" s="31">
        <f t="shared" si="14"/>
        <v>799.95</v>
      </c>
    </row>
    <row r="902" spans="1:8" x14ac:dyDescent="0.3">
      <c r="A902" s="17" t="s">
        <v>8</v>
      </c>
      <c r="B902" s="10" t="s">
        <v>23</v>
      </c>
      <c r="C902" s="11" t="s">
        <v>17</v>
      </c>
      <c r="D902" s="10" t="s">
        <v>22</v>
      </c>
      <c r="E902" s="12">
        <v>43836</v>
      </c>
      <c r="F902" s="31">
        <v>340.95</v>
      </c>
      <c r="G902" s="13">
        <v>2</v>
      </c>
      <c r="H902" s="31">
        <f t="shared" si="14"/>
        <v>681.9</v>
      </c>
    </row>
    <row r="903" spans="1:8" x14ac:dyDescent="0.3">
      <c r="A903" s="17" t="s">
        <v>6</v>
      </c>
      <c r="B903" s="10" t="s">
        <v>27</v>
      </c>
      <c r="C903" s="11" t="s">
        <v>14</v>
      </c>
      <c r="D903" s="10" t="s">
        <v>22</v>
      </c>
      <c r="E903" s="12">
        <v>44343</v>
      </c>
      <c r="F903" s="31">
        <v>799.95</v>
      </c>
      <c r="G903" s="13">
        <v>2</v>
      </c>
      <c r="H903" s="31">
        <f t="shared" si="14"/>
        <v>1599.9</v>
      </c>
    </row>
    <row r="904" spans="1:8" x14ac:dyDescent="0.3">
      <c r="A904" s="9" t="s">
        <v>2</v>
      </c>
      <c r="B904" s="10" t="s">
        <v>27</v>
      </c>
      <c r="C904" s="11" t="s">
        <v>14</v>
      </c>
      <c r="D904" s="10" t="s">
        <v>22</v>
      </c>
      <c r="E904" s="12">
        <v>44304</v>
      </c>
      <c r="F904" s="31">
        <v>799.95</v>
      </c>
      <c r="G904" s="13">
        <v>13</v>
      </c>
      <c r="H904" s="31">
        <f t="shared" si="14"/>
        <v>10399.35</v>
      </c>
    </row>
    <row r="905" spans="1:8" x14ac:dyDescent="0.3">
      <c r="A905" s="17" t="s">
        <v>8</v>
      </c>
      <c r="B905" s="10" t="s">
        <v>23</v>
      </c>
      <c r="C905" s="11" t="s">
        <v>17</v>
      </c>
      <c r="D905" s="10" t="s">
        <v>22</v>
      </c>
      <c r="E905" s="12">
        <v>43841</v>
      </c>
      <c r="F905" s="31">
        <v>340.95</v>
      </c>
      <c r="G905" s="13">
        <v>6</v>
      </c>
      <c r="H905" s="31">
        <f t="shared" si="14"/>
        <v>2045.6999999999998</v>
      </c>
    </row>
    <row r="906" spans="1:8" x14ac:dyDescent="0.3">
      <c r="A906" s="17" t="s">
        <v>12</v>
      </c>
      <c r="B906" s="10" t="s">
        <v>27</v>
      </c>
      <c r="C906" s="11" t="s">
        <v>15</v>
      </c>
      <c r="D906" s="10" t="s">
        <v>19</v>
      </c>
      <c r="E906" s="12">
        <v>43994</v>
      </c>
      <c r="F906" s="31">
        <v>799.95</v>
      </c>
      <c r="G906" s="13">
        <v>3</v>
      </c>
      <c r="H906" s="31">
        <f t="shared" si="14"/>
        <v>2399.8500000000004</v>
      </c>
    </row>
    <row r="907" spans="1:8" x14ac:dyDescent="0.3">
      <c r="A907" s="9" t="s">
        <v>7</v>
      </c>
      <c r="B907" s="10" t="s">
        <v>24</v>
      </c>
      <c r="C907" s="11" t="s">
        <v>17</v>
      </c>
      <c r="D907" s="10" t="s">
        <v>20</v>
      </c>
      <c r="E907" s="12">
        <v>44364</v>
      </c>
      <c r="F907" s="31">
        <v>79.989999999999995</v>
      </c>
      <c r="G907" s="13">
        <v>11</v>
      </c>
      <c r="H907" s="31">
        <f t="shared" si="14"/>
        <v>879.89</v>
      </c>
    </row>
    <row r="908" spans="1:8" x14ac:dyDescent="0.3">
      <c r="A908" s="17" t="s">
        <v>4</v>
      </c>
      <c r="B908" s="10" t="s">
        <v>27</v>
      </c>
      <c r="C908" s="11" t="s">
        <v>14</v>
      </c>
      <c r="D908" s="10" t="s">
        <v>18</v>
      </c>
      <c r="E908" s="12">
        <v>43880</v>
      </c>
      <c r="F908" s="31">
        <v>799.95</v>
      </c>
      <c r="G908" s="13">
        <v>14</v>
      </c>
      <c r="H908" s="31">
        <f t="shared" si="14"/>
        <v>11199.300000000001</v>
      </c>
    </row>
    <row r="909" spans="1:8" x14ac:dyDescent="0.3">
      <c r="A909" s="9" t="s">
        <v>13</v>
      </c>
      <c r="B909" s="10" t="s">
        <v>23</v>
      </c>
      <c r="C909" s="11" t="s">
        <v>16</v>
      </c>
      <c r="D909" s="10" t="s">
        <v>22</v>
      </c>
      <c r="E909" s="12">
        <v>44377</v>
      </c>
      <c r="F909" s="31">
        <v>340.95</v>
      </c>
      <c r="G909" s="13">
        <v>15</v>
      </c>
      <c r="H909" s="31">
        <f t="shared" si="14"/>
        <v>5114.25</v>
      </c>
    </row>
    <row r="910" spans="1:8" x14ac:dyDescent="0.3">
      <c r="A910" s="22" t="s">
        <v>5</v>
      </c>
      <c r="B910" s="23" t="s">
        <v>27</v>
      </c>
      <c r="C910" s="24" t="s">
        <v>15</v>
      </c>
      <c r="D910" s="23" t="s">
        <v>19</v>
      </c>
      <c r="E910" s="25">
        <v>44059</v>
      </c>
      <c r="F910" s="32">
        <v>799.95</v>
      </c>
      <c r="G910" s="26">
        <v>9</v>
      </c>
      <c r="H910" s="32">
        <f t="shared" si="14"/>
        <v>7199.55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5A74F-8E3E-4861-BE66-BBA73991F2AD}">
  <sheetPr>
    <tabColor theme="8"/>
  </sheetPr>
  <dimension ref="A1:P913"/>
  <sheetViews>
    <sheetView rightToLeft="1" workbookViewId="0">
      <selection activeCell="J22" sqref="J22"/>
    </sheetView>
  </sheetViews>
  <sheetFormatPr defaultColWidth="18" defaultRowHeight="14.4" x14ac:dyDescent="0.3"/>
  <cols>
    <col min="1" max="1" width="18" style="7"/>
    <col min="2" max="2" width="20.33203125" style="7" bestFit="1" customWidth="1"/>
    <col min="3" max="3" width="7.33203125" style="7" bestFit="1" customWidth="1"/>
    <col min="4" max="4" width="16.33203125" style="7" bestFit="1" customWidth="1"/>
    <col min="5" max="5" width="12.44140625" style="27" bestFit="1" customWidth="1"/>
    <col min="6" max="6" width="11" style="34" bestFit="1" customWidth="1"/>
    <col min="7" max="7" width="10.5546875" style="28" bestFit="1" customWidth="1"/>
    <col min="8" max="8" width="12.33203125" style="34" bestFit="1" customWidth="1"/>
    <col min="9" max="9" width="21.77734375" style="7" customWidth="1"/>
    <col min="10" max="10" width="10.33203125" style="7" bestFit="1" customWidth="1"/>
    <col min="11" max="11" width="11.5546875" style="7" bestFit="1" customWidth="1"/>
    <col min="12" max="12" width="14.5546875" style="7" bestFit="1" customWidth="1"/>
    <col min="13" max="13" width="12.5546875" style="7" bestFit="1" customWidth="1"/>
    <col min="14" max="14" width="11.21875" style="7" bestFit="1" customWidth="1"/>
    <col min="15" max="15" width="10.44140625" style="7" customWidth="1"/>
    <col min="16" max="16384" width="18" style="7"/>
  </cols>
  <sheetData>
    <row r="1" spans="1:16" ht="34.200000000000003" customHeight="1" x14ac:dyDescent="0.3">
      <c r="A1" s="1" t="s">
        <v>28</v>
      </c>
      <c r="B1" s="2" t="s">
        <v>29</v>
      </c>
      <c r="C1" s="1" t="s">
        <v>30</v>
      </c>
      <c r="D1" s="2" t="s">
        <v>31</v>
      </c>
      <c r="E1" s="3" t="s">
        <v>32</v>
      </c>
      <c r="F1" s="33" t="s">
        <v>33</v>
      </c>
      <c r="G1" s="5" t="s">
        <v>34</v>
      </c>
      <c r="H1" s="35" t="s">
        <v>35</v>
      </c>
      <c r="J1"/>
      <c r="K1" t="s">
        <v>23</v>
      </c>
      <c r="L1" t="s">
        <v>24</v>
      </c>
      <c r="M1" t="s">
        <v>26</v>
      </c>
      <c r="N1" t="s">
        <v>25</v>
      </c>
      <c r="O1" s="8" t="s">
        <v>47</v>
      </c>
    </row>
    <row r="2" spans="1:16" x14ac:dyDescent="0.3">
      <c r="A2" s="9" t="s">
        <v>0</v>
      </c>
      <c r="B2" s="10" t="s">
        <v>23</v>
      </c>
      <c r="C2" s="11" t="s">
        <v>14</v>
      </c>
      <c r="D2" s="10" t="s">
        <v>18</v>
      </c>
      <c r="E2" s="12">
        <v>41851</v>
      </c>
      <c r="F2" s="31">
        <v>340.95</v>
      </c>
      <c r="G2" s="13">
        <v>12</v>
      </c>
      <c r="H2" s="31">
        <f t="shared" ref="H2:H65" si="0">F2*G2</f>
        <v>4091.3999999999996</v>
      </c>
      <c r="I2" s="14"/>
      <c r="J2" t="s">
        <v>42</v>
      </c>
      <c r="K2">
        <f>SUMIFS($G:$G,$A:$A,$J2,$B:$B,K$1)</f>
        <v>142</v>
      </c>
      <c r="L2">
        <f t="shared" ref="K2:N13" si="1">SUMIFS($G:$G,$A:$A,$J2,$B:$B,L$1)</f>
        <v>122</v>
      </c>
      <c r="M2">
        <f t="shared" si="1"/>
        <v>79</v>
      </c>
      <c r="N2">
        <f t="shared" si="1"/>
        <v>74</v>
      </c>
      <c r="O2" s="16">
        <f t="shared" ref="O2:O14" si="2">SUM(K2:N2)</f>
        <v>417</v>
      </c>
    </row>
    <row r="3" spans="1:16" x14ac:dyDescent="0.3">
      <c r="A3" s="9" t="s">
        <v>36</v>
      </c>
      <c r="B3" s="10" t="s">
        <v>24</v>
      </c>
      <c r="C3" s="11" t="s">
        <v>15</v>
      </c>
      <c r="D3" s="10" t="s">
        <v>19</v>
      </c>
      <c r="E3" s="12">
        <v>42204</v>
      </c>
      <c r="F3" s="31">
        <v>79.989999999999995</v>
      </c>
      <c r="G3" s="13">
        <v>3</v>
      </c>
      <c r="H3" s="31">
        <f>F3*G3</f>
        <v>239.96999999999997</v>
      </c>
      <c r="I3" s="14"/>
      <c r="J3" t="s">
        <v>46</v>
      </c>
      <c r="K3">
        <f>SUMIFS($G:$G,$A:$A,$J3,$B:$B,K$1)</f>
        <v>183</v>
      </c>
      <c r="L3">
        <f t="shared" si="1"/>
        <v>118</v>
      </c>
      <c r="M3">
        <f t="shared" si="1"/>
        <v>209</v>
      </c>
      <c r="N3">
        <f t="shared" si="1"/>
        <v>151</v>
      </c>
      <c r="O3" s="16">
        <f t="shared" si="2"/>
        <v>661</v>
      </c>
    </row>
    <row r="4" spans="1:16" x14ac:dyDescent="0.3">
      <c r="A4" s="17" t="s">
        <v>37</v>
      </c>
      <c r="B4" s="10" t="s">
        <v>26</v>
      </c>
      <c r="C4" s="11" t="s">
        <v>14</v>
      </c>
      <c r="D4" s="10" t="s">
        <v>19</v>
      </c>
      <c r="E4" s="12">
        <v>42038</v>
      </c>
      <c r="F4" s="31">
        <v>168.95</v>
      </c>
      <c r="G4" s="13">
        <v>13</v>
      </c>
      <c r="H4" s="31">
        <f t="shared" si="0"/>
        <v>2196.35</v>
      </c>
      <c r="I4" s="14"/>
      <c r="J4" t="s">
        <v>44</v>
      </c>
      <c r="K4">
        <f t="shared" si="1"/>
        <v>169</v>
      </c>
      <c r="L4">
        <f t="shared" si="1"/>
        <v>124</v>
      </c>
      <c r="M4">
        <f t="shared" si="1"/>
        <v>154</v>
      </c>
      <c r="N4">
        <f t="shared" si="1"/>
        <v>80</v>
      </c>
      <c r="O4" s="16">
        <f t="shared" si="2"/>
        <v>527</v>
      </c>
    </row>
    <row r="5" spans="1:16" x14ac:dyDescent="0.3">
      <c r="A5" s="9" t="s">
        <v>38</v>
      </c>
      <c r="B5" s="10" t="s">
        <v>25</v>
      </c>
      <c r="C5" s="11" t="s">
        <v>16</v>
      </c>
      <c r="D5" s="10" t="s">
        <v>19</v>
      </c>
      <c r="E5" s="12">
        <v>42096</v>
      </c>
      <c r="F5" s="31">
        <v>340.95</v>
      </c>
      <c r="G5" s="13">
        <v>4</v>
      </c>
      <c r="H5" s="31">
        <f t="shared" si="0"/>
        <v>1363.8</v>
      </c>
      <c r="I5" s="19"/>
      <c r="J5" t="s">
        <v>39</v>
      </c>
      <c r="K5">
        <f t="shared" si="1"/>
        <v>62</v>
      </c>
      <c r="L5">
        <f t="shared" si="1"/>
        <v>130</v>
      </c>
      <c r="M5">
        <f t="shared" si="1"/>
        <v>77</v>
      </c>
      <c r="N5">
        <f t="shared" si="1"/>
        <v>75</v>
      </c>
      <c r="O5" s="16">
        <f t="shared" si="2"/>
        <v>344</v>
      </c>
    </row>
    <row r="6" spans="1:16" x14ac:dyDescent="0.3">
      <c r="A6" s="17" t="s">
        <v>39</v>
      </c>
      <c r="B6" s="10" t="s">
        <v>25</v>
      </c>
      <c r="C6" s="11" t="s">
        <v>14</v>
      </c>
      <c r="D6" s="10" t="s">
        <v>20</v>
      </c>
      <c r="E6" s="12">
        <v>42210</v>
      </c>
      <c r="F6" s="31">
        <v>340.95</v>
      </c>
      <c r="G6" s="13">
        <v>6</v>
      </c>
      <c r="H6" s="31">
        <f t="shared" si="0"/>
        <v>2045.6999999999998</v>
      </c>
      <c r="I6" s="19"/>
      <c r="J6" t="s">
        <v>0</v>
      </c>
      <c r="K6">
        <f t="shared" si="1"/>
        <v>166</v>
      </c>
      <c r="L6">
        <f t="shared" si="1"/>
        <v>150</v>
      </c>
      <c r="M6">
        <f t="shared" si="1"/>
        <v>19</v>
      </c>
      <c r="N6">
        <f t="shared" si="1"/>
        <v>90</v>
      </c>
      <c r="O6" s="16">
        <f t="shared" si="2"/>
        <v>425</v>
      </c>
    </row>
    <row r="7" spans="1:16" x14ac:dyDescent="0.3">
      <c r="A7" s="9" t="s">
        <v>38</v>
      </c>
      <c r="B7" s="10" t="s">
        <v>26</v>
      </c>
      <c r="C7" s="11" t="s">
        <v>15</v>
      </c>
      <c r="D7" s="10" t="s">
        <v>19</v>
      </c>
      <c r="E7" s="12">
        <v>41998</v>
      </c>
      <c r="F7" s="31">
        <v>168.95</v>
      </c>
      <c r="G7" s="13">
        <v>12</v>
      </c>
      <c r="H7" s="31">
        <f t="shared" si="0"/>
        <v>2027.3999999999999</v>
      </c>
      <c r="I7" s="19"/>
      <c r="J7" t="s">
        <v>45</v>
      </c>
      <c r="K7">
        <f t="shared" si="1"/>
        <v>212</v>
      </c>
      <c r="L7">
        <f t="shared" si="1"/>
        <v>145</v>
      </c>
      <c r="M7">
        <f t="shared" si="1"/>
        <v>147</v>
      </c>
      <c r="N7">
        <f t="shared" si="1"/>
        <v>125</v>
      </c>
      <c r="O7" s="16">
        <f t="shared" si="2"/>
        <v>629</v>
      </c>
    </row>
    <row r="8" spans="1:16" x14ac:dyDescent="0.3">
      <c r="A8" s="9" t="s">
        <v>36</v>
      </c>
      <c r="B8" s="10" t="s">
        <v>26</v>
      </c>
      <c r="C8" s="11" t="s">
        <v>15</v>
      </c>
      <c r="D8" s="10" t="s">
        <v>21</v>
      </c>
      <c r="E8" s="12">
        <v>41963</v>
      </c>
      <c r="F8" s="31">
        <v>168.95</v>
      </c>
      <c r="G8" s="13">
        <v>4</v>
      </c>
      <c r="H8" s="31">
        <f t="shared" si="0"/>
        <v>675.8</v>
      </c>
      <c r="I8" s="19"/>
      <c r="J8" t="s">
        <v>43</v>
      </c>
      <c r="K8">
        <f t="shared" si="1"/>
        <v>121</v>
      </c>
      <c r="L8">
        <f t="shared" si="1"/>
        <v>62</v>
      </c>
      <c r="M8">
        <f t="shared" si="1"/>
        <v>93</v>
      </c>
      <c r="N8">
        <f t="shared" si="1"/>
        <v>72</v>
      </c>
      <c r="O8" s="16">
        <f t="shared" si="2"/>
        <v>348</v>
      </c>
    </row>
    <row r="9" spans="1:16" x14ac:dyDescent="0.3">
      <c r="A9" s="9" t="s">
        <v>40</v>
      </c>
      <c r="B9" s="10" t="s">
        <v>23</v>
      </c>
      <c r="C9" s="11" t="s">
        <v>17</v>
      </c>
      <c r="D9" s="10" t="s">
        <v>20</v>
      </c>
      <c r="E9" s="12">
        <v>42262</v>
      </c>
      <c r="F9" s="31">
        <v>340.95</v>
      </c>
      <c r="G9" s="13">
        <v>13</v>
      </c>
      <c r="H9" s="31">
        <f t="shared" si="0"/>
        <v>4432.3499999999995</v>
      </c>
      <c r="I9" s="19"/>
      <c r="J9" t="s">
        <v>41</v>
      </c>
      <c r="K9">
        <f t="shared" si="1"/>
        <v>172</v>
      </c>
      <c r="L9">
        <f t="shared" si="1"/>
        <v>145</v>
      </c>
      <c r="M9">
        <f t="shared" si="1"/>
        <v>134</v>
      </c>
      <c r="N9">
        <f t="shared" si="1"/>
        <v>79</v>
      </c>
      <c r="O9" s="16">
        <f t="shared" si="2"/>
        <v>530</v>
      </c>
    </row>
    <row r="10" spans="1:16" x14ac:dyDescent="0.3">
      <c r="A10" s="9" t="s">
        <v>36</v>
      </c>
      <c r="B10" s="10" t="s">
        <v>23</v>
      </c>
      <c r="C10" s="11" t="s">
        <v>15</v>
      </c>
      <c r="D10" s="10" t="s">
        <v>22</v>
      </c>
      <c r="E10" s="12">
        <v>41653</v>
      </c>
      <c r="F10" s="31">
        <v>340.95</v>
      </c>
      <c r="G10" s="13">
        <v>4</v>
      </c>
      <c r="H10" s="31">
        <f t="shared" si="0"/>
        <v>1363.8</v>
      </c>
      <c r="I10" s="19"/>
      <c r="J10" t="s">
        <v>37</v>
      </c>
      <c r="K10">
        <f t="shared" si="1"/>
        <v>170</v>
      </c>
      <c r="L10">
        <f t="shared" si="1"/>
        <v>120</v>
      </c>
      <c r="M10">
        <f t="shared" si="1"/>
        <v>157</v>
      </c>
      <c r="N10">
        <f t="shared" si="1"/>
        <v>150</v>
      </c>
      <c r="O10" s="16">
        <f t="shared" si="2"/>
        <v>597</v>
      </c>
    </row>
    <row r="11" spans="1:16" x14ac:dyDescent="0.3">
      <c r="A11" s="17" t="s">
        <v>41</v>
      </c>
      <c r="B11" s="10" t="s">
        <v>26</v>
      </c>
      <c r="C11" s="11" t="s">
        <v>17</v>
      </c>
      <c r="D11" s="10" t="s">
        <v>21</v>
      </c>
      <c r="E11" s="12">
        <v>42034</v>
      </c>
      <c r="F11" s="31">
        <v>168.95</v>
      </c>
      <c r="G11" s="13">
        <v>9</v>
      </c>
      <c r="H11" s="31">
        <f t="shared" si="0"/>
        <v>1520.55</v>
      </c>
      <c r="I11" s="19"/>
      <c r="J11" t="s">
        <v>36</v>
      </c>
      <c r="K11">
        <f t="shared" si="1"/>
        <v>217</v>
      </c>
      <c r="L11">
        <f t="shared" si="1"/>
        <v>199</v>
      </c>
      <c r="M11">
        <f t="shared" si="1"/>
        <v>239</v>
      </c>
      <c r="N11">
        <f t="shared" si="1"/>
        <v>214</v>
      </c>
      <c r="O11" s="16">
        <f t="shared" si="2"/>
        <v>869</v>
      </c>
    </row>
    <row r="12" spans="1:16" x14ac:dyDescent="0.3">
      <c r="A12" s="17" t="s">
        <v>39</v>
      </c>
      <c r="B12" s="10" t="s">
        <v>27</v>
      </c>
      <c r="C12" s="11" t="s">
        <v>14</v>
      </c>
      <c r="D12" s="10" t="s">
        <v>19</v>
      </c>
      <c r="E12" s="12">
        <v>42046</v>
      </c>
      <c r="F12" s="31">
        <v>799.95</v>
      </c>
      <c r="G12" s="13">
        <v>11</v>
      </c>
      <c r="H12" s="31">
        <f t="shared" si="0"/>
        <v>8799.4500000000007</v>
      </c>
      <c r="I12" s="19"/>
      <c r="J12" t="s">
        <v>40</v>
      </c>
      <c r="K12">
        <f t="shared" si="1"/>
        <v>110</v>
      </c>
      <c r="L12">
        <f t="shared" si="1"/>
        <v>69</v>
      </c>
      <c r="M12">
        <f t="shared" si="1"/>
        <v>150</v>
      </c>
      <c r="N12">
        <f t="shared" si="1"/>
        <v>155</v>
      </c>
      <c r="O12" s="16">
        <f t="shared" si="2"/>
        <v>484</v>
      </c>
    </row>
    <row r="13" spans="1:16" x14ac:dyDescent="0.3">
      <c r="A13" s="9" t="s">
        <v>42</v>
      </c>
      <c r="B13" s="10" t="s">
        <v>27</v>
      </c>
      <c r="C13" s="11" t="s">
        <v>15</v>
      </c>
      <c r="D13" s="10" t="s">
        <v>19</v>
      </c>
      <c r="E13" s="12">
        <v>41719</v>
      </c>
      <c r="F13" s="31">
        <v>799.95</v>
      </c>
      <c r="G13" s="13">
        <v>9</v>
      </c>
      <c r="H13" s="31">
        <f t="shared" si="0"/>
        <v>7199.55</v>
      </c>
      <c r="I13" s="19"/>
      <c r="J13" t="s">
        <v>38</v>
      </c>
      <c r="K13">
        <f t="shared" si="1"/>
        <v>91</v>
      </c>
      <c r="L13">
        <f t="shared" si="1"/>
        <v>104</v>
      </c>
      <c r="M13">
        <f t="shared" si="1"/>
        <v>154</v>
      </c>
      <c r="N13">
        <f t="shared" si="1"/>
        <v>138</v>
      </c>
      <c r="O13" s="16">
        <f t="shared" si="2"/>
        <v>487</v>
      </c>
    </row>
    <row r="14" spans="1:16" x14ac:dyDescent="0.3">
      <c r="A14" s="17" t="s">
        <v>43</v>
      </c>
      <c r="B14" s="10" t="s">
        <v>27</v>
      </c>
      <c r="C14" s="11" t="s">
        <v>16</v>
      </c>
      <c r="D14" s="10" t="s">
        <v>18</v>
      </c>
      <c r="E14" s="12">
        <v>42127</v>
      </c>
      <c r="F14" s="31">
        <v>799.95</v>
      </c>
      <c r="G14" s="13">
        <v>20</v>
      </c>
      <c r="H14" s="31">
        <f t="shared" si="0"/>
        <v>15999</v>
      </c>
      <c r="I14" s="19"/>
      <c r="J14" s="20" t="s">
        <v>47</v>
      </c>
      <c r="K14" s="21">
        <f>SUM(K2:K13)</f>
        <v>1815</v>
      </c>
      <c r="L14" s="21">
        <f>SUM(L2:L13)</f>
        <v>1488</v>
      </c>
      <c r="M14" s="21">
        <f>SUM(M2:M13)</f>
        <v>1612</v>
      </c>
      <c r="N14" s="21">
        <f>SUM(N2:N13)</f>
        <v>1403</v>
      </c>
      <c r="O14" s="21">
        <f t="shared" si="2"/>
        <v>6318</v>
      </c>
    </row>
    <row r="15" spans="1:16" x14ac:dyDescent="0.3">
      <c r="A15" s="9" t="s">
        <v>42</v>
      </c>
      <c r="B15" s="10" t="s">
        <v>23</v>
      </c>
      <c r="C15" s="11" t="s">
        <v>15</v>
      </c>
      <c r="D15" s="10" t="s">
        <v>18</v>
      </c>
      <c r="E15" s="12">
        <v>41668</v>
      </c>
      <c r="F15" s="31">
        <v>340.95</v>
      </c>
      <c r="G15" s="13">
        <v>8</v>
      </c>
      <c r="H15" s="31">
        <f t="shared" si="0"/>
        <v>2727.6</v>
      </c>
      <c r="I15" s="19"/>
    </row>
    <row r="16" spans="1:16" x14ac:dyDescent="0.3">
      <c r="A16" s="9" t="s">
        <v>42</v>
      </c>
      <c r="B16" s="10" t="s">
        <v>24</v>
      </c>
      <c r="C16" s="11" t="s">
        <v>15</v>
      </c>
      <c r="D16" s="10" t="s">
        <v>22</v>
      </c>
      <c r="E16" s="12">
        <v>41665</v>
      </c>
      <c r="F16" s="31">
        <v>79.989999999999995</v>
      </c>
      <c r="G16" s="13">
        <v>11</v>
      </c>
      <c r="H16" s="31">
        <f t="shared" si="0"/>
        <v>879.89</v>
      </c>
      <c r="I16" s="19"/>
      <c r="J16"/>
      <c r="K16"/>
      <c r="L16"/>
      <c r="M16"/>
      <c r="N16"/>
      <c r="O16"/>
      <c r="P16"/>
    </row>
    <row r="17" spans="1:16" x14ac:dyDescent="0.3">
      <c r="A17" s="9" t="s">
        <v>36</v>
      </c>
      <c r="B17" s="10" t="s">
        <v>25</v>
      </c>
      <c r="C17" s="11" t="s">
        <v>15</v>
      </c>
      <c r="D17" s="10" t="s">
        <v>19</v>
      </c>
      <c r="E17" s="12">
        <v>42091</v>
      </c>
      <c r="F17" s="31">
        <v>340.95</v>
      </c>
      <c r="G17" s="13">
        <v>4</v>
      </c>
      <c r="H17" s="31">
        <f t="shared" si="0"/>
        <v>1363.8</v>
      </c>
      <c r="I17" s="19"/>
      <c r="J17"/>
      <c r="K17"/>
      <c r="L17"/>
      <c r="M17"/>
      <c r="N17"/>
      <c r="O17"/>
      <c r="P17"/>
    </row>
    <row r="18" spans="1:16" x14ac:dyDescent="0.3">
      <c r="A18" s="9" t="s">
        <v>42</v>
      </c>
      <c r="B18" s="10" t="s">
        <v>25</v>
      </c>
      <c r="C18" s="11" t="s">
        <v>15</v>
      </c>
      <c r="D18" s="10" t="s">
        <v>22</v>
      </c>
      <c r="E18" s="12">
        <v>41737</v>
      </c>
      <c r="F18" s="31">
        <v>340.95</v>
      </c>
      <c r="G18" s="13">
        <v>3</v>
      </c>
      <c r="H18" s="31">
        <f t="shared" si="0"/>
        <v>1022.8499999999999</v>
      </c>
      <c r="I18" s="19"/>
      <c r="J18"/>
      <c r="K18"/>
      <c r="L18"/>
      <c r="M18"/>
      <c r="N18"/>
      <c r="O18"/>
      <c r="P18"/>
    </row>
    <row r="19" spans="1:16" x14ac:dyDescent="0.3">
      <c r="A19" s="17" t="s">
        <v>43</v>
      </c>
      <c r="B19" s="10" t="s">
        <v>23</v>
      </c>
      <c r="C19" s="11" t="s">
        <v>16</v>
      </c>
      <c r="D19" s="10" t="s">
        <v>18</v>
      </c>
      <c r="E19" s="12">
        <v>42302</v>
      </c>
      <c r="F19" s="31">
        <v>340.95</v>
      </c>
      <c r="G19" s="13">
        <v>18</v>
      </c>
      <c r="H19" s="31">
        <f t="shared" si="0"/>
        <v>6137.0999999999995</v>
      </c>
      <c r="I19" s="19"/>
      <c r="J19"/>
      <c r="K19"/>
      <c r="L19"/>
      <c r="M19"/>
      <c r="N19"/>
      <c r="O19"/>
      <c r="P19"/>
    </row>
    <row r="20" spans="1:16" x14ac:dyDescent="0.3">
      <c r="A20" s="9" t="s">
        <v>38</v>
      </c>
      <c r="B20" s="10" t="s">
        <v>23</v>
      </c>
      <c r="C20" s="11" t="s">
        <v>15</v>
      </c>
      <c r="D20" s="10" t="s">
        <v>20</v>
      </c>
      <c r="E20" s="12">
        <v>42095</v>
      </c>
      <c r="F20" s="31">
        <v>340.95</v>
      </c>
      <c r="G20" s="13">
        <v>13</v>
      </c>
      <c r="H20" s="31">
        <f t="shared" si="0"/>
        <v>4432.3499999999995</v>
      </c>
      <c r="I20" s="19"/>
      <c r="J20"/>
      <c r="K20"/>
      <c r="L20"/>
      <c r="M20"/>
      <c r="N20"/>
      <c r="O20"/>
      <c r="P20"/>
    </row>
    <row r="21" spans="1:16" x14ac:dyDescent="0.3">
      <c r="A21" s="17" t="s">
        <v>44</v>
      </c>
      <c r="B21" s="10" t="s">
        <v>26</v>
      </c>
      <c r="C21" s="11" t="s">
        <v>14</v>
      </c>
      <c r="D21" s="10" t="s">
        <v>20</v>
      </c>
      <c r="E21" s="12">
        <v>41775</v>
      </c>
      <c r="F21" s="31">
        <v>168.95</v>
      </c>
      <c r="G21" s="13">
        <v>14</v>
      </c>
      <c r="H21" s="31">
        <f t="shared" si="0"/>
        <v>2365.2999999999997</v>
      </c>
      <c r="I21" s="19"/>
      <c r="J21" s="18"/>
    </row>
    <row r="22" spans="1:16" x14ac:dyDescent="0.3">
      <c r="A22" s="17" t="s">
        <v>37</v>
      </c>
      <c r="B22" s="10" t="s">
        <v>24</v>
      </c>
      <c r="C22" s="11" t="s">
        <v>14</v>
      </c>
      <c r="D22" s="10" t="s">
        <v>21</v>
      </c>
      <c r="E22" s="12">
        <v>41705</v>
      </c>
      <c r="F22" s="31">
        <v>79.989999999999995</v>
      </c>
      <c r="G22" s="13">
        <v>12</v>
      </c>
      <c r="H22" s="31">
        <f t="shared" si="0"/>
        <v>959.87999999999988</v>
      </c>
      <c r="I22" s="19"/>
      <c r="J22" s="18"/>
    </row>
    <row r="23" spans="1:16" x14ac:dyDescent="0.3">
      <c r="A23" s="17" t="s">
        <v>41</v>
      </c>
      <c r="B23" s="10" t="s">
        <v>26</v>
      </c>
      <c r="C23" s="11" t="s">
        <v>17</v>
      </c>
      <c r="D23" s="10" t="s">
        <v>21</v>
      </c>
      <c r="E23" s="12">
        <v>41647</v>
      </c>
      <c r="F23" s="31">
        <v>168.95</v>
      </c>
      <c r="G23" s="13">
        <v>3</v>
      </c>
      <c r="H23" s="31">
        <f t="shared" si="0"/>
        <v>506.84999999999997</v>
      </c>
      <c r="I23" s="19"/>
      <c r="J23" s="18"/>
    </row>
    <row r="24" spans="1:16" x14ac:dyDescent="0.3">
      <c r="A24" s="17" t="s">
        <v>37</v>
      </c>
      <c r="B24" s="10" t="s">
        <v>26</v>
      </c>
      <c r="C24" s="11" t="s">
        <v>14</v>
      </c>
      <c r="D24" s="10" t="s">
        <v>18</v>
      </c>
      <c r="E24" s="12">
        <v>41997</v>
      </c>
      <c r="F24" s="31">
        <v>168.95</v>
      </c>
      <c r="G24" s="13">
        <v>19</v>
      </c>
      <c r="H24" s="31">
        <f t="shared" si="0"/>
        <v>3210.0499999999997</v>
      </c>
      <c r="I24" s="19"/>
      <c r="J24" s="18"/>
    </row>
    <row r="25" spans="1:16" x14ac:dyDescent="0.3">
      <c r="A25" s="17" t="s">
        <v>39</v>
      </c>
      <c r="B25" s="10" t="s">
        <v>23</v>
      </c>
      <c r="C25" s="11" t="s">
        <v>14</v>
      </c>
      <c r="D25" s="10" t="s">
        <v>20</v>
      </c>
      <c r="E25" s="12">
        <v>42290</v>
      </c>
      <c r="F25" s="31">
        <v>340.95</v>
      </c>
      <c r="G25" s="13">
        <v>1</v>
      </c>
      <c r="H25" s="31">
        <f t="shared" si="0"/>
        <v>340.95</v>
      </c>
      <c r="I25" s="19"/>
      <c r="J25" s="15"/>
    </row>
    <row r="26" spans="1:16" x14ac:dyDescent="0.3">
      <c r="A26" s="9" t="s">
        <v>36</v>
      </c>
      <c r="B26" s="10" t="s">
        <v>25</v>
      </c>
      <c r="C26" s="11" t="s">
        <v>15</v>
      </c>
      <c r="D26" s="10" t="s">
        <v>22</v>
      </c>
      <c r="E26" s="12">
        <v>42232</v>
      </c>
      <c r="F26" s="31">
        <v>340.95</v>
      </c>
      <c r="G26" s="13">
        <v>3</v>
      </c>
      <c r="H26" s="31">
        <f t="shared" si="0"/>
        <v>1022.8499999999999</v>
      </c>
      <c r="I26" s="19"/>
      <c r="J26" s="15"/>
    </row>
    <row r="27" spans="1:16" x14ac:dyDescent="0.3">
      <c r="A27" s="9" t="s">
        <v>38</v>
      </c>
      <c r="B27" s="10" t="s">
        <v>27</v>
      </c>
      <c r="C27" s="11" t="s">
        <v>15</v>
      </c>
      <c r="D27" s="10" t="s">
        <v>22</v>
      </c>
      <c r="E27" s="12">
        <v>41811</v>
      </c>
      <c r="F27" s="31">
        <v>799.95</v>
      </c>
      <c r="G27" s="13">
        <v>11</v>
      </c>
      <c r="H27" s="31">
        <f t="shared" si="0"/>
        <v>8799.4500000000007</v>
      </c>
      <c r="I27" s="19"/>
      <c r="J27" s="15"/>
    </row>
    <row r="28" spans="1:16" x14ac:dyDescent="0.3">
      <c r="A28" s="9" t="s">
        <v>40</v>
      </c>
      <c r="B28" s="10" t="s">
        <v>25</v>
      </c>
      <c r="C28" s="11" t="s">
        <v>17</v>
      </c>
      <c r="D28" s="10" t="s">
        <v>18</v>
      </c>
      <c r="E28" s="12">
        <v>41955</v>
      </c>
      <c r="F28" s="31">
        <v>340.95</v>
      </c>
      <c r="G28" s="13">
        <v>16</v>
      </c>
      <c r="H28" s="31">
        <f t="shared" si="0"/>
        <v>5455.2</v>
      </c>
      <c r="I28" s="19"/>
      <c r="J28" s="15"/>
    </row>
    <row r="29" spans="1:16" x14ac:dyDescent="0.3">
      <c r="A29" s="17" t="s">
        <v>43</v>
      </c>
      <c r="B29" s="10" t="s">
        <v>25</v>
      </c>
      <c r="C29" s="11" t="s">
        <v>16</v>
      </c>
      <c r="D29" s="10" t="s">
        <v>19</v>
      </c>
      <c r="E29" s="12">
        <v>42174</v>
      </c>
      <c r="F29" s="31">
        <v>340.95</v>
      </c>
      <c r="G29" s="13">
        <v>1</v>
      </c>
      <c r="H29" s="31">
        <f t="shared" si="0"/>
        <v>340.95</v>
      </c>
      <c r="I29" s="19"/>
      <c r="J29" s="20"/>
    </row>
    <row r="30" spans="1:16" x14ac:dyDescent="0.3">
      <c r="A30" s="17" t="s">
        <v>45</v>
      </c>
      <c r="B30" s="10" t="s">
        <v>23</v>
      </c>
      <c r="C30" s="11" t="s">
        <v>15</v>
      </c>
      <c r="D30" s="10" t="s">
        <v>22</v>
      </c>
      <c r="E30" s="12">
        <v>42064</v>
      </c>
      <c r="F30" s="31">
        <v>340.95</v>
      </c>
      <c r="G30" s="13">
        <v>11</v>
      </c>
      <c r="H30" s="31">
        <f t="shared" si="0"/>
        <v>3750.45</v>
      </c>
      <c r="I30" s="19"/>
    </row>
    <row r="31" spans="1:16" x14ac:dyDescent="0.3">
      <c r="A31" s="9" t="s">
        <v>40</v>
      </c>
      <c r="B31" s="10" t="s">
        <v>23</v>
      </c>
      <c r="C31" s="11" t="s">
        <v>17</v>
      </c>
      <c r="D31" s="10" t="s">
        <v>21</v>
      </c>
      <c r="E31" s="12">
        <v>42003</v>
      </c>
      <c r="F31" s="31">
        <v>340.95</v>
      </c>
      <c r="G31" s="13">
        <v>12</v>
      </c>
      <c r="H31" s="31">
        <f t="shared" si="0"/>
        <v>4091.3999999999996</v>
      </c>
      <c r="I31" s="19"/>
    </row>
    <row r="32" spans="1:16" x14ac:dyDescent="0.3">
      <c r="A32" s="9" t="s">
        <v>0</v>
      </c>
      <c r="B32" s="10" t="s">
        <v>24</v>
      </c>
      <c r="C32" s="11" t="s">
        <v>14</v>
      </c>
      <c r="D32" s="10" t="s">
        <v>19</v>
      </c>
      <c r="E32" s="12">
        <v>42193</v>
      </c>
      <c r="F32" s="31">
        <v>79.989999999999995</v>
      </c>
      <c r="G32" s="13">
        <v>14</v>
      </c>
      <c r="H32" s="31">
        <f t="shared" si="0"/>
        <v>1119.8599999999999</v>
      </c>
      <c r="I32" s="19"/>
    </row>
    <row r="33" spans="1:9" x14ac:dyDescent="0.3">
      <c r="A33" s="17" t="s">
        <v>41</v>
      </c>
      <c r="B33" s="10" t="s">
        <v>25</v>
      </c>
      <c r="C33" s="11" t="s">
        <v>17</v>
      </c>
      <c r="D33" s="10" t="s">
        <v>20</v>
      </c>
      <c r="E33" s="12">
        <v>42078</v>
      </c>
      <c r="F33" s="31">
        <v>340.95</v>
      </c>
      <c r="G33" s="13">
        <v>4</v>
      </c>
      <c r="H33" s="31">
        <f t="shared" si="0"/>
        <v>1363.8</v>
      </c>
      <c r="I33" s="19"/>
    </row>
    <row r="34" spans="1:9" x14ac:dyDescent="0.3">
      <c r="A34" s="9" t="s">
        <v>46</v>
      </c>
      <c r="B34" s="10" t="s">
        <v>26</v>
      </c>
      <c r="C34" s="11" t="s">
        <v>16</v>
      </c>
      <c r="D34" s="10" t="s">
        <v>22</v>
      </c>
      <c r="E34" s="12">
        <v>42302</v>
      </c>
      <c r="F34" s="31">
        <v>168.95</v>
      </c>
      <c r="G34" s="13">
        <v>1</v>
      </c>
      <c r="H34" s="31">
        <f t="shared" si="0"/>
        <v>168.95</v>
      </c>
      <c r="I34" s="19"/>
    </row>
    <row r="35" spans="1:9" x14ac:dyDescent="0.3">
      <c r="A35" s="17" t="s">
        <v>44</v>
      </c>
      <c r="B35" s="10" t="s">
        <v>25</v>
      </c>
      <c r="C35" s="11" t="s">
        <v>14</v>
      </c>
      <c r="D35" s="10" t="s">
        <v>20</v>
      </c>
      <c r="E35" s="12">
        <v>41818</v>
      </c>
      <c r="F35" s="31">
        <v>340.95</v>
      </c>
      <c r="G35" s="13">
        <v>4</v>
      </c>
      <c r="H35" s="31">
        <f t="shared" si="0"/>
        <v>1363.8</v>
      </c>
      <c r="I35" s="19"/>
    </row>
    <row r="36" spans="1:9" x14ac:dyDescent="0.3">
      <c r="A36" s="9" t="s">
        <v>46</v>
      </c>
      <c r="B36" s="10" t="s">
        <v>26</v>
      </c>
      <c r="C36" s="11" t="s">
        <v>16</v>
      </c>
      <c r="D36" s="10" t="s">
        <v>21</v>
      </c>
      <c r="E36" s="12">
        <v>42288</v>
      </c>
      <c r="F36" s="31">
        <v>168.95</v>
      </c>
      <c r="G36" s="13">
        <v>10</v>
      </c>
      <c r="H36" s="31">
        <f t="shared" si="0"/>
        <v>1689.5</v>
      </c>
      <c r="I36" s="19"/>
    </row>
    <row r="37" spans="1:9" x14ac:dyDescent="0.3">
      <c r="A37" s="9" t="s">
        <v>38</v>
      </c>
      <c r="B37" s="10" t="s">
        <v>24</v>
      </c>
      <c r="C37" s="11" t="s">
        <v>15</v>
      </c>
      <c r="D37" s="10" t="s">
        <v>21</v>
      </c>
      <c r="E37" s="12">
        <v>42236</v>
      </c>
      <c r="F37" s="31">
        <v>79.989999999999995</v>
      </c>
      <c r="G37" s="13">
        <v>13</v>
      </c>
      <c r="H37" s="31">
        <f t="shared" si="0"/>
        <v>1039.8699999999999</v>
      </c>
      <c r="I37" s="19"/>
    </row>
    <row r="38" spans="1:9" x14ac:dyDescent="0.3">
      <c r="A38" s="17" t="s">
        <v>41</v>
      </c>
      <c r="B38" s="10" t="s">
        <v>23</v>
      </c>
      <c r="C38" s="11" t="s">
        <v>17</v>
      </c>
      <c r="D38" s="10" t="s">
        <v>19</v>
      </c>
      <c r="E38" s="12">
        <v>42232</v>
      </c>
      <c r="F38" s="31">
        <v>340.95</v>
      </c>
      <c r="G38" s="13">
        <v>8</v>
      </c>
      <c r="H38" s="31">
        <f t="shared" si="0"/>
        <v>2727.6</v>
      </c>
      <c r="I38" s="19"/>
    </row>
    <row r="39" spans="1:9" x14ac:dyDescent="0.3">
      <c r="A39" s="17" t="s">
        <v>37</v>
      </c>
      <c r="B39" s="10" t="s">
        <v>26</v>
      </c>
      <c r="C39" s="11" t="s">
        <v>14</v>
      </c>
      <c r="D39" s="10" t="s">
        <v>21</v>
      </c>
      <c r="E39" s="12">
        <v>42308</v>
      </c>
      <c r="F39" s="31">
        <v>168.95</v>
      </c>
      <c r="G39" s="13">
        <v>2</v>
      </c>
      <c r="H39" s="31">
        <f t="shared" si="0"/>
        <v>337.9</v>
      </c>
      <c r="I39" s="19"/>
    </row>
    <row r="40" spans="1:9" x14ac:dyDescent="0.3">
      <c r="A40" s="9" t="s">
        <v>0</v>
      </c>
      <c r="B40" s="10" t="s">
        <v>23</v>
      </c>
      <c r="C40" s="11" t="s">
        <v>14</v>
      </c>
      <c r="D40" s="10" t="s">
        <v>21</v>
      </c>
      <c r="E40" s="12">
        <v>42270</v>
      </c>
      <c r="F40" s="31">
        <v>340.95</v>
      </c>
      <c r="G40" s="13">
        <v>8</v>
      </c>
      <c r="H40" s="31">
        <f t="shared" si="0"/>
        <v>2727.6</v>
      </c>
      <c r="I40" s="19"/>
    </row>
    <row r="41" spans="1:9" x14ac:dyDescent="0.3">
      <c r="A41" s="17" t="s">
        <v>43</v>
      </c>
      <c r="B41" s="10" t="s">
        <v>24</v>
      </c>
      <c r="C41" s="11" t="s">
        <v>16</v>
      </c>
      <c r="D41" s="10" t="s">
        <v>18</v>
      </c>
      <c r="E41" s="12">
        <v>42134</v>
      </c>
      <c r="F41" s="31">
        <v>79.989999999999995</v>
      </c>
      <c r="G41" s="13">
        <v>8</v>
      </c>
      <c r="H41" s="31">
        <f t="shared" si="0"/>
        <v>639.91999999999996</v>
      </c>
      <c r="I41" s="19"/>
    </row>
    <row r="42" spans="1:9" x14ac:dyDescent="0.3">
      <c r="A42" s="9" t="s">
        <v>36</v>
      </c>
      <c r="B42" s="10" t="s">
        <v>23</v>
      </c>
      <c r="C42" s="11" t="s">
        <v>15</v>
      </c>
      <c r="D42" s="10" t="s">
        <v>20</v>
      </c>
      <c r="E42" s="12">
        <v>41754</v>
      </c>
      <c r="F42" s="31">
        <v>340.95</v>
      </c>
      <c r="G42" s="13">
        <v>7</v>
      </c>
      <c r="H42" s="31">
        <f t="shared" si="0"/>
        <v>2386.65</v>
      </c>
      <c r="I42" s="19"/>
    </row>
    <row r="43" spans="1:9" x14ac:dyDescent="0.3">
      <c r="A43" s="17" t="s">
        <v>43</v>
      </c>
      <c r="B43" s="10" t="s">
        <v>26</v>
      </c>
      <c r="C43" s="11" t="s">
        <v>16</v>
      </c>
      <c r="D43" s="10" t="s">
        <v>19</v>
      </c>
      <c r="E43" s="12">
        <v>41986</v>
      </c>
      <c r="F43" s="31">
        <v>168.95</v>
      </c>
      <c r="G43" s="13">
        <v>1</v>
      </c>
      <c r="H43" s="31">
        <f t="shared" si="0"/>
        <v>168.95</v>
      </c>
      <c r="I43" s="19"/>
    </row>
    <row r="44" spans="1:9" x14ac:dyDescent="0.3">
      <c r="A44" s="9" t="s">
        <v>0</v>
      </c>
      <c r="B44" s="10" t="s">
        <v>23</v>
      </c>
      <c r="C44" s="11" t="s">
        <v>14</v>
      </c>
      <c r="D44" s="10" t="s">
        <v>21</v>
      </c>
      <c r="E44" s="12">
        <v>42013</v>
      </c>
      <c r="F44" s="31">
        <v>340.95</v>
      </c>
      <c r="G44" s="13">
        <v>11</v>
      </c>
      <c r="H44" s="31">
        <f t="shared" si="0"/>
        <v>3750.45</v>
      </c>
      <c r="I44" s="19"/>
    </row>
    <row r="45" spans="1:9" x14ac:dyDescent="0.3">
      <c r="A45" s="9" t="s">
        <v>42</v>
      </c>
      <c r="B45" s="10" t="s">
        <v>26</v>
      </c>
      <c r="C45" s="11" t="s">
        <v>15</v>
      </c>
      <c r="D45" s="10" t="s">
        <v>21</v>
      </c>
      <c r="E45" s="12">
        <v>41808</v>
      </c>
      <c r="F45" s="31">
        <v>168.95</v>
      </c>
      <c r="G45" s="13">
        <v>9</v>
      </c>
      <c r="H45" s="31">
        <f t="shared" si="0"/>
        <v>1520.55</v>
      </c>
      <c r="I45" s="19"/>
    </row>
    <row r="46" spans="1:9" x14ac:dyDescent="0.3">
      <c r="A46" s="9" t="s">
        <v>46</v>
      </c>
      <c r="B46" s="10" t="s">
        <v>25</v>
      </c>
      <c r="C46" s="11" t="s">
        <v>16</v>
      </c>
      <c r="D46" s="10" t="s">
        <v>21</v>
      </c>
      <c r="E46" s="12">
        <v>42290</v>
      </c>
      <c r="F46" s="31">
        <v>340.95</v>
      </c>
      <c r="G46" s="13">
        <v>4</v>
      </c>
      <c r="H46" s="31">
        <f t="shared" si="0"/>
        <v>1363.8</v>
      </c>
      <c r="I46" s="19"/>
    </row>
    <row r="47" spans="1:9" x14ac:dyDescent="0.3">
      <c r="A47" s="9" t="s">
        <v>40</v>
      </c>
      <c r="B47" s="10" t="s">
        <v>23</v>
      </c>
      <c r="C47" s="11" t="s">
        <v>17</v>
      </c>
      <c r="D47" s="10" t="s">
        <v>19</v>
      </c>
      <c r="E47" s="12">
        <v>42362</v>
      </c>
      <c r="F47" s="31">
        <v>340.95</v>
      </c>
      <c r="G47" s="13">
        <v>12</v>
      </c>
      <c r="H47" s="31">
        <f t="shared" si="0"/>
        <v>4091.3999999999996</v>
      </c>
      <c r="I47" s="19"/>
    </row>
    <row r="48" spans="1:9" x14ac:dyDescent="0.3">
      <c r="A48" s="17" t="s">
        <v>37</v>
      </c>
      <c r="B48" s="10" t="s">
        <v>27</v>
      </c>
      <c r="C48" s="11" t="s">
        <v>14</v>
      </c>
      <c r="D48" s="10" t="s">
        <v>21</v>
      </c>
      <c r="E48" s="12">
        <v>41903</v>
      </c>
      <c r="F48" s="31">
        <v>799.95</v>
      </c>
      <c r="G48" s="13">
        <v>10</v>
      </c>
      <c r="H48" s="31">
        <f t="shared" si="0"/>
        <v>7999.5</v>
      </c>
      <c r="I48" s="19"/>
    </row>
    <row r="49" spans="1:9" x14ac:dyDescent="0.3">
      <c r="A49" s="9" t="s">
        <v>46</v>
      </c>
      <c r="B49" s="10" t="s">
        <v>23</v>
      </c>
      <c r="C49" s="11" t="s">
        <v>16</v>
      </c>
      <c r="D49" s="10" t="s">
        <v>20</v>
      </c>
      <c r="E49" s="12">
        <v>42053</v>
      </c>
      <c r="F49" s="31">
        <v>340.95</v>
      </c>
      <c r="G49" s="13">
        <v>15</v>
      </c>
      <c r="H49" s="31">
        <f t="shared" si="0"/>
        <v>5114.25</v>
      </c>
      <c r="I49" s="19"/>
    </row>
    <row r="50" spans="1:9" x14ac:dyDescent="0.3">
      <c r="A50" s="9" t="s">
        <v>38</v>
      </c>
      <c r="B50" s="10" t="s">
        <v>27</v>
      </c>
      <c r="C50" s="11" t="s">
        <v>15</v>
      </c>
      <c r="D50" s="10" t="s">
        <v>19</v>
      </c>
      <c r="E50" s="12">
        <v>41770</v>
      </c>
      <c r="F50" s="31">
        <v>799.95</v>
      </c>
      <c r="G50" s="13">
        <v>6</v>
      </c>
      <c r="H50" s="31">
        <f t="shared" si="0"/>
        <v>4799.7000000000007</v>
      </c>
      <c r="I50" s="19"/>
    </row>
    <row r="51" spans="1:9" x14ac:dyDescent="0.3">
      <c r="A51" s="9" t="s">
        <v>0</v>
      </c>
      <c r="B51" s="10" t="s">
        <v>24</v>
      </c>
      <c r="C51" s="11" t="s">
        <v>14</v>
      </c>
      <c r="D51" s="10" t="s">
        <v>19</v>
      </c>
      <c r="E51" s="12">
        <v>42038</v>
      </c>
      <c r="F51" s="31">
        <v>79.989999999999995</v>
      </c>
      <c r="G51" s="13">
        <v>8</v>
      </c>
      <c r="H51" s="31">
        <f t="shared" si="0"/>
        <v>639.91999999999996</v>
      </c>
      <c r="I51" s="19"/>
    </row>
    <row r="52" spans="1:9" x14ac:dyDescent="0.3">
      <c r="A52" s="9" t="s">
        <v>36</v>
      </c>
      <c r="B52" s="10" t="s">
        <v>26</v>
      </c>
      <c r="C52" s="11" t="s">
        <v>15</v>
      </c>
      <c r="D52" s="10" t="s">
        <v>19</v>
      </c>
      <c r="E52" s="12">
        <v>42334</v>
      </c>
      <c r="F52" s="31">
        <v>168.95</v>
      </c>
      <c r="G52" s="13">
        <v>1</v>
      </c>
      <c r="H52" s="31">
        <f t="shared" si="0"/>
        <v>168.95</v>
      </c>
      <c r="I52" s="19"/>
    </row>
    <row r="53" spans="1:9" x14ac:dyDescent="0.3">
      <c r="A53" s="9" t="s">
        <v>42</v>
      </c>
      <c r="B53" s="10" t="s">
        <v>25</v>
      </c>
      <c r="C53" s="11" t="s">
        <v>15</v>
      </c>
      <c r="D53" s="10" t="s">
        <v>20</v>
      </c>
      <c r="E53" s="12">
        <v>42021</v>
      </c>
      <c r="F53" s="31">
        <v>340.95</v>
      </c>
      <c r="G53" s="13">
        <v>2</v>
      </c>
      <c r="H53" s="31">
        <f t="shared" si="0"/>
        <v>681.9</v>
      </c>
      <c r="I53" s="19"/>
    </row>
    <row r="54" spans="1:9" x14ac:dyDescent="0.3">
      <c r="A54" s="17" t="s">
        <v>43</v>
      </c>
      <c r="B54" s="10" t="s">
        <v>27</v>
      </c>
      <c r="C54" s="11" t="s">
        <v>16</v>
      </c>
      <c r="D54" s="10" t="s">
        <v>20</v>
      </c>
      <c r="E54" s="12">
        <v>41992</v>
      </c>
      <c r="F54" s="31">
        <v>799.95</v>
      </c>
      <c r="G54" s="13">
        <v>14</v>
      </c>
      <c r="H54" s="31">
        <f t="shared" si="0"/>
        <v>11199.300000000001</v>
      </c>
      <c r="I54" s="19"/>
    </row>
    <row r="55" spans="1:9" x14ac:dyDescent="0.3">
      <c r="A55" s="9" t="s">
        <v>42</v>
      </c>
      <c r="B55" s="10" t="s">
        <v>25</v>
      </c>
      <c r="C55" s="11" t="s">
        <v>15</v>
      </c>
      <c r="D55" s="10" t="s">
        <v>22</v>
      </c>
      <c r="E55" s="12">
        <v>41888</v>
      </c>
      <c r="F55" s="31">
        <v>340.95</v>
      </c>
      <c r="G55" s="13">
        <v>1</v>
      </c>
      <c r="H55" s="31">
        <f t="shared" si="0"/>
        <v>340.95</v>
      </c>
      <c r="I55" s="19"/>
    </row>
    <row r="56" spans="1:9" x14ac:dyDescent="0.3">
      <c r="A56" s="9" t="s">
        <v>46</v>
      </c>
      <c r="B56" s="10" t="s">
        <v>26</v>
      </c>
      <c r="C56" s="11" t="s">
        <v>16</v>
      </c>
      <c r="D56" s="10" t="s">
        <v>19</v>
      </c>
      <c r="E56" s="12">
        <v>42094</v>
      </c>
      <c r="F56" s="31">
        <v>168.95</v>
      </c>
      <c r="G56" s="13">
        <v>14</v>
      </c>
      <c r="H56" s="31">
        <f t="shared" si="0"/>
        <v>2365.2999999999997</v>
      </c>
      <c r="I56" s="19"/>
    </row>
    <row r="57" spans="1:9" x14ac:dyDescent="0.3">
      <c r="A57" s="9" t="s">
        <v>38</v>
      </c>
      <c r="B57" s="10" t="s">
        <v>27</v>
      </c>
      <c r="C57" s="11" t="s">
        <v>15</v>
      </c>
      <c r="D57" s="10" t="s">
        <v>19</v>
      </c>
      <c r="E57" s="12">
        <v>42042</v>
      </c>
      <c r="F57" s="31">
        <v>799.95</v>
      </c>
      <c r="G57" s="13">
        <v>6</v>
      </c>
      <c r="H57" s="31">
        <f t="shared" si="0"/>
        <v>4799.7000000000007</v>
      </c>
      <c r="I57" s="19"/>
    </row>
    <row r="58" spans="1:9" x14ac:dyDescent="0.3">
      <c r="A58" s="17" t="s">
        <v>37</v>
      </c>
      <c r="B58" s="10" t="s">
        <v>26</v>
      </c>
      <c r="C58" s="11" t="s">
        <v>14</v>
      </c>
      <c r="D58" s="10" t="s">
        <v>21</v>
      </c>
      <c r="E58" s="12">
        <v>42284</v>
      </c>
      <c r="F58" s="31">
        <v>168.95</v>
      </c>
      <c r="G58" s="13">
        <v>1</v>
      </c>
      <c r="H58" s="31">
        <f t="shared" si="0"/>
        <v>168.95</v>
      </c>
      <c r="I58" s="19"/>
    </row>
    <row r="59" spans="1:9" x14ac:dyDescent="0.3">
      <c r="A59" s="17" t="s">
        <v>37</v>
      </c>
      <c r="B59" s="10" t="s">
        <v>23</v>
      </c>
      <c r="C59" s="11" t="s">
        <v>14</v>
      </c>
      <c r="D59" s="10" t="s">
        <v>18</v>
      </c>
      <c r="E59" s="12">
        <v>42155</v>
      </c>
      <c r="F59" s="31">
        <v>340.95</v>
      </c>
      <c r="G59" s="13">
        <v>20</v>
      </c>
      <c r="H59" s="31">
        <f t="shared" si="0"/>
        <v>6819</v>
      </c>
      <c r="I59" s="19"/>
    </row>
    <row r="60" spans="1:9" x14ac:dyDescent="0.3">
      <c r="A60" s="17" t="s">
        <v>43</v>
      </c>
      <c r="B60" s="10" t="s">
        <v>24</v>
      </c>
      <c r="C60" s="11" t="s">
        <v>16</v>
      </c>
      <c r="D60" s="10" t="s">
        <v>19</v>
      </c>
      <c r="E60" s="12">
        <v>42305</v>
      </c>
      <c r="F60" s="31">
        <v>79.989999999999995</v>
      </c>
      <c r="G60" s="13">
        <v>8</v>
      </c>
      <c r="H60" s="31">
        <f t="shared" si="0"/>
        <v>639.91999999999996</v>
      </c>
      <c r="I60" s="19"/>
    </row>
    <row r="61" spans="1:9" x14ac:dyDescent="0.3">
      <c r="A61" s="9" t="s">
        <v>40</v>
      </c>
      <c r="B61" s="10" t="s">
        <v>27</v>
      </c>
      <c r="C61" s="11" t="s">
        <v>17</v>
      </c>
      <c r="D61" s="10" t="s">
        <v>19</v>
      </c>
      <c r="E61" s="12">
        <v>41934</v>
      </c>
      <c r="F61" s="31">
        <v>799.95</v>
      </c>
      <c r="G61" s="13">
        <v>5</v>
      </c>
      <c r="H61" s="31">
        <f t="shared" si="0"/>
        <v>3999.75</v>
      </c>
      <c r="I61" s="19"/>
    </row>
    <row r="62" spans="1:9" x14ac:dyDescent="0.3">
      <c r="A62" s="9" t="s">
        <v>46</v>
      </c>
      <c r="B62" s="10" t="s">
        <v>25</v>
      </c>
      <c r="C62" s="11" t="s">
        <v>16</v>
      </c>
      <c r="D62" s="10" t="s">
        <v>18</v>
      </c>
      <c r="E62" s="12">
        <v>42360</v>
      </c>
      <c r="F62" s="31">
        <v>340.95</v>
      </c>
      <c r="G62" s="13">
        <v>12</v>
      </c>
      <c r="H62" s="31">
        <f t="shared" si="0"/>
        <v>4091.3999999999996</v>
      </c>
      <c r="I62" s="19"/>
    </row>
    <row r="63" spans="1:9" x14ac:dyDescent="0.3">
      <c r="A63" s="9" t="s">
        <v>46</v>
      </c>
      <c r="B63" s="10" t="s">
        <v>27</v>
      </c>
      <c r="C63" s="11" t="s">
        <v>16</v>
      </c>
      <c r="D63" s="10" t="s">
        <v>19</v>
      </c>
      <c r="E63" s="12">
        <v>41825</v>
      </c>
      <c r="F63" s="31">
        <v>799.95</v>
      </c>
      <c r="G63" s="13">
        <v>2</v>
      </c>
      <c r="H63" s="31">
        <f t="shared" si="0"/>
        <v>1599.9</v>
      </c>
      <c r="I63" s="19"/>
    </row>
    <row r="64" spans="1:9" x14ac:dyDescent="0.3">
      <c r="A64" s="17" t="s">
        <v>43</v>
      </c>
      <c r="B64" s="10" t="s">
        <v>24</v>
      </c>
      <c r="C64" s="11" t="s">
        <v>16</v>
      </c>
      <c r="D64" s="10" t="s">
        <v>20</v>
      </c>
      <c r="E64" s="12">
        <v>42217</v>
      </c>
      <c r="F64" s="31">
        <v>79.989999999999995</v>
      </c>
      <c r="G64" s="13">
        <v>9</v>
      </c>
      <c r="H64" s="31">
        <f t="shared" si="0"/>
        <v>719.91</v>
      </c>
      <c r="I64" s="19"/>
    </row>
    <row r="65" spans="1:9" x14ac:dyDescent="0.3">
      <c r="A65" s="17" t="s">
        <v>43</v>
      </c>
      <c r="B65" s="10" t="s">
        <v>24</v>
      </c>
      <c r="C65" s="11" t="s">
        <v>16</v>
      </c>
      <c r="D65" s="10" t="s">
        <v>22</v>
      </c>
      <c r="E65" s="12">
        <v>42041</v>
      </c>
      <c r="F65" s="31">
        <v>79.989999999999995</v>
      </c>
      <c r="G65" s="13">
        <v>3</v>
      </c>
      <c r="H65" s="31">
        <f t="shared" si="0"/>
        <v>239.96999999999997</v>
      </c>
      <c r="I65" s="19"/>
    </row>
    <row r="66" spans="1:9" x14ac:dyDescent="0.3">
      <c r="A66" s="9" t="s">
        <v>46</v>
      </c>
      <c r="B66" s="10" t="s">
        <v>23</v>
      </c>
      <c r="C66" s="11" t="s">
        <v>16</v>
      </c>
      <c r="D66" s="10" t="s">
        <v>18</v>
      </c>
      <c r="E66" s="12">
        <v>41667</v>
      </c>
      <c r="F66" s="31">
        <v>340.95</v>
      </c>
      <c r="G66" s="13">
        <v>7</v>
      </c>
      <c r="H66" s="31">
        <f t="shared" ref="H66:H129" si="3">F66*G66</f>
        <v>2386.65</v>
      </c>
      <c r="I66" s="19"/>
    </row>
    <row r="67" spans="1:9" x14ac:dyDescent="0.3">
      <c r="A67" s="9" t="s">
        <v>42</v>
      </c>
      <c r="B67" s="10" t="s">
        <v>24</v>
      </c>
      <c r="C67" s="11" t="s">
        <v>15</v>
      </c>
      <c r="D67" s="10" t="s">
        <v>19</v>
      </c>
      <c r="E67" s="12">
        <v>41748</v>
      </c>
      <c r="F67" s="31">
        <v>79.989999999999995</v>
      </c>
      <c r="G67" s="13">
        <v>8</v>
      </c>
      <c r="H67" s="31">
        <f t="shared" si="3"/>
        <v>639.91999999999996</v>
      </c>
      <c r="I67" s="19"/>
    </row>
    <row r="68" spans="1:9" x14ac:dyDescent="0.3">
      <c r="A68" s="9" t="s">
        <v>38</v>
      </c>
      <c r="B68" s="10" t="s">
        <v>27</v>
      </c>
      <c r="C68" s="11" t="s">
        <v>15</v>
      </c>
      <c r="D68" s="10" t="s">
        <v>21</v>
      </c>
      <c r="E68" s="12">
        <v>41870</v>
      </c>
      <c r="F68" s="31">
        <v>799.95</v>
      </c>
      <c r="G68" s="13">
        <v>1</v>
      </c>
      <c r="H68" s="31">
        <f t="shared" si="3"/>
        <v>799.95</v>
      </c>
      <c r="I68" s="19"/>
    </row>
    <row r="69" spans="1:9" x14ac:dyDescent="0.3">
      <c r="A69" s="17" t="s">
        <v>41</v>
      </c>
      <c r="B69" s="10" t="s">
        <v>23</v>
      </c>
      <c r="C69" s="11" t="s">
        <v>17</v>
      </c>
      <c r="D69" s="10" t="s">
        <v>21</v>
      </c>
      <c r="E69" s="12">
        <v>41860</v>
      </c>
      <c r="F69" s="31">
        <v>340.95</v>
      </c>
      <c r="G69" s="13">
        <v>14</v>
      </c>
      <c r="H69" s="31">
        <f t="shared" si="3"/>
        <v>4773.3</v>
      </c>
      <c r="I69" s="19"/>
    </row>
    <row r="70" spans="1:9" x14ac:dyDescent="0.3">
      <c r="A70" s="17" t="s">
        <v>39</v>
      </c>
      <c r="B70" s="10" t="s">
        <v>26</v>
      </c>
      <c r="C70" s="11" t="s">
        <v>14</v>
      </c>
      <c r="D70" s="10" t="s">
        <v>19</v>
      </c>
      <c r="E70" s="12">
        <v>42145</v>
      </c>
      <c r="F70" s="31">
        <v>168.95</v>
      </c>
      <c r="G70" s="13">
        <v>6</v>
      </c>
      <c r="H70" s="31">
        <f t="shared" si="3"/>
        <v>1013.6999999999999</v>
      </c>
      <c r="I70" s="19"/>
    </row>
    <row r="71" spans="1:9" x14ac:dyDescent="0.3">
      <c r="A71" s="17" t="s">
        <v>43</v>
      </c>
      <c r="B71" s="10" t="s">
        <v>27</v>
      </c>
      <c r="C71" s="11" t="s">
        <v>16</v>
      </c>
      <c r="D71" s="10" t="s">
        <v>22</v>
      </c>
      <c r="E71" s="12">
        <v>42278</v>
      </c>
      <c r="F71" s="31">
        <v>799.95</v>
      </c>
      <c r="G71" s="13">
        <v>4</v>
      </c>
      <c r="H71" s="31">
        <f t="shared" si="3"/>
        <v>3199.8</v>
      </c>
      <c r="I71" s="19"/>
    </row>
    <row r="72" spans="1:9" x14ac:dyDescent="0.3">
      <c r="A72" s="17" t="s">
        <v>39</v>
      </c>
      <c r="B72" s="10" t="s">
        <v>26</v>
      </c>
      <c r="C72" s="11" t="s">
        <v>14</v>
      </c>
      <c r="D72" s="10" t="s">
        <v>18</v>
      </c>
      <c r="E72" s="12">
        <v>41919</v>
      </c>
      <c r="F72" s="31">
        <v>168.95</v>
      </c>
      <c r="G72" s="13">
        <v>18</v>
      </c>
      <c r="H72" s="31">
        <f t="shared" si="3"/>
        <v>3041.1</v>
      </c>
      <c r="I72" s="19"/>
    </row>
    <row r="73" spans="1:9" x14ac:dyDescent="0.3">
      <c r="A73" s="9" t="s">
        <v>40</v>
      </c>
      <c r="B73" s="10" t="s">
        <v>26</v>
      </c>
      <c r="C73" s="11" t="s">
        <v>17</v>
      </c>
      <c r="D73" s="10" t="s">
        <v>21</v>
      </c>
      <c r="E73" s="12">
        <v>42350</v>
      </c>
      <c r="F73" s="31">
        <v>168.95</v>
      </c>
      <c r="G73" s="13">
        <v>12</v>
      </c>
      <c r="H73" s="31">
        <f t="shared" si="3"/>
        <v>2027.3999999999999</v>
      </c>
      <c r="I73" s="19"/>
    </row>
    <row r="74" spans="1:9" x14ac:dyDescent="0.3">
      <c r="A74" s="9" t="s">
        <v>0</v>
      </c>
      <c r="B74" s="10" t="s">
        <v>24</v>
      </c>
      <c r="C74" s="11" t="s">
        <v>14</v>
      </c>
      <c r="D74" s="10" t="s">
        <v>21</v>
      </c>
      <c r="E74" s="12">
        <v>41955</v>
      </c>
      <c r="F74" s="31">
        <v>79.989999999999995</v>
      </c>
      <c r="G74" s="13">
        <v>13</v>
      </c>
      <c r="H74" s="31">
        <f t="shared" si="3"/>
        <v>1039.8699999999999</v>
      </c>
      <c r="I74" s="19"/>
    </row>
    <row r="75" spans="1:9" x14ac:dyDescent="0.3">
      <c r="A75" s="9" t="s">
        <v>36</v>
      </c>
      <c r="B75" s="10" t="s">
        <v>24</v>
      </c>
      <c r="C75" s="11" t="s">
        <v>15</v>
      </c>
      <c r="D75" s="10" t="s">
        <v>18</v>
      </c>
      <c r="E75" s="12">
        <v>41915</v>
      </c>
      <c r="F75" s="31">
        <v>79.989999999999995</v>
      </c>
      <c r="G75" s="13">
        <v>20</v>
      </c>
      <c r="H75" s="31">
        <f t="shared" si="3"/>
        <v>1599.8</v>
      </c>
      <c r="I75" s="19"/>
    </row>
    <row r="76" spans="1:9" x14ac:dyDescent="0.3">
      <c r="A76" s="9" t="s">
        <v>36</v>
      </c>
      <c r="B76" s="10" t="s">
        <v>27</v>
      </c>
      <c r="C76" s="11" t="s">
        <v>15</v>
      </c>
      <c r="D76" s="10" t="s">
        <v>20</v>
      </c>
      <c r="E76" s="12">
        <v>41891</v>
      </c>
      <c r="F76" s="31">
        <v>799.95</v>
      </c>
      <c r="G76" s="13">
        <v>4</v>
      </c>
      <c r="H76" s="31">
        <f t="shared" si="3"/>
        <v>3199.8</v>
      </c>
      <c r="I76" s="19"/>
    </row>
    <row r="77" spans="1:9" x14ac:dyDescent="0.3">
      <c r="A77" s="17" t="s">
        <v>37</v>
      </c>
      <c r="B77" s="10" t="s">
        <v>25</v>
      </c>
      <c r="C77" s="11" t="s">
        <v>14</v>
      </c>
      <c r="D77" s="10" t="s">
        <v>19</v>
      </c>
      <c r="E77" s="12">
        <v>41824</v>
      </c>
      <c r="F77" s="31">
        <v>340.95</v>
      </c>
      <c r="G77" s="13">
        <v>14</v>
      </c>
      <c r="H77" s="31">
        <f t="shared" si="3"/>
        <v>4773.3</v>
      </c>
      <c r="I77" s="19"/>
    </row>
    <row r="78" spans="1:9" x14ac:dyDescent="0.3">
      <c r="A78" s="17" t="s">
        <v>41</v>
      </c>
      <c r="B78" s="10" t="s">
        <v>23</v>
      </c>
      <c r="C78" s="11" t="s">
        <v>17</v>
      </c>
      <c r="D78" s="10" t="s">
        <v>22</v>
      </c>
      <c r="E78" s="12">
        <v>42360</v>
      </c>
      <c r="F78" s="31">
        <v>340.95</v>
      </c>
      <c r="G78" s="13">
        <v>12</v>
      </c>
      <c r="H78" s="31">
        <f t="shared" si="3"/>
        <v>4091.3999999999996</v>
      </c>
      <c r="I78" s="19"/>
    </row>
    <row r="79" spans="1:9" x14ac:dyDescent="0.3">
      <c r="A79" s="17" t="s">
        <v>41</v>
      </c>
      <c r="B79" s="10" t="s">
        <v>25</v>
      </c>
      <c r="C79" s="11" t="s">
        <v>17</v>
      </c>
      <c r="D79" s="10" t="s">
        <v>20</v>
      </c>
      <c r="E79" s="12">
        <v>41920</v>
      </c>
      <c r="F79" s="31">
        <v>340.95</v>
      </c>
      <c r="G79" s="13">
        <v>7</v>
      </c>
      <c r="H79" s="31">
        <f t="shared" si="3"/>
        <v>2386.65</v>
      </c>
      <c r="I79" s="19"/>
    </row>
    <row r="80" spans="1:9" x14ac:dyDescent="0.3">
      <c r="A80" s="9" t="s">
        <v>40</v>
      </c>
      <c r="B80" s="10" t="s">
        <v>27</v>
      </c>
      <c r="C80" s="11" t="s">
        <v>17</v>
      </c>
      <c r="D80" s="10" t="s">
        <v>19</v>
      </c>
      <c r="E80" s="12">
        <v>41833</v>
      </c>
      <c r="F80" s="31">
        <v>799.95</v>
      </c>
      <c r="G80" s="13">
        <v>3</v>
      </c>
      <c r="H80" s="31">
        <f t="shared" si="3"/>
        <v>2399.8500000000004</v>
      </c>
      <c r="I80" s="19"/>
    </row>
    <row r="81" spans="1:9" x14ac:dyDescent="0.3">
      <c r="A81" s="9" t="s">
        <v>42</v>
      </c>
      <c r="B81" s="10" t="s">
        <v>23</v>
      </c>
      <c r="C81" s="11" t="s">
        <v>15</v>
      </c>
      <c r="D81" s="10" t="s">
        <v>18</v>
      </c>
      <c r="E81" s="12">
        <v>41857</v>
      </c>
      <c r="F81" s="31">
        <v>340.95</v>
      </c>
      <c r="G81" s="13">
        <v>7</v>
      </c>
      <c r="H81" s="31">
        <f t="shared" si="3"/>
        <v>2386.65</v>
      </c>
      <c r="I81" s="19"/>
    </row>
    <row r="82" spans="1:9" x14ac:dyDescent="0.3">
      <c r="A82" s="17" t="s">
        <v>45</v>
      </c>
      <c r="B82" s="10" t="s">
        <v>26</v>
      </c>
      <c r="C82" s="11" t="s">
        <v>15</v>
      </c>
      <c r="D82" s="10" t="s">
        <v>22</v>
      </c>
      <c r="E82" s="12">
        <v>41962</v>
      </c>
      <c r="F82" s="31">
        <v>168.95</v>
      </c>
      <c r="G82" s="13">
        <v>5</v>
      </c>
      <c r="H82" s="31">
        <f t="shared" si="3"/>
        <v>844.75</v>
      </c>
      <c r="I82" s="19"/>
    </row>
    <row r="83" spans="1:9" x14ac:dyDescent="0.3">
      <c r="A83" s="9" t="s">
        <v>0</v>
      </c>
      <c r="B83" s="10" t="s">
        <v>24</v>
      </c>
      <c r="C83" s="11" t="s">
        <v>14</v>
      </c>
      <c r="D83" s="10" t="s">
        <v>20</v>
      </c>
      <c r="E83" s="12">
        <v>41983</v>
      </c>
      <c r="F83" s="31">
        <v>79.989999999999995</v>
      </c>
      <c r="G83" s="13">
        <v>10</v>
      </c>
      <c r="H83" s="31">
        <f t="shared" si="3"/>
        <v>799.9</v>
      </c>
      <c r="I83" s="19"/>
    </row>
    <row r="84" spans="1:9" x14ac:dyDescent="0.3">
      <c r="A84" s="17" t="s">
        <v>39</v>
      </c>
      <c r="B84" s="10" t="s">
        <v>27</v>
      </c>
      <c r="C84" s="11" t="s">
        <v>14</v>
      </c>
      <c r="D84" s="10" t="s">
        <v>19</v>
      </c>
      <c r="E84" s="12">
        <v>42242</v>
      </c>
      <c r="F84" s="31">
        <v>799.95</v>
      </c>
      <c r="G84" s="13">
        <v>10</v>
      </c>
      <c r="H84" s="31">
        <f t="shared" si="3"/>
        <v>7999.5</v>
      </c>
      <c r="I84" s="19"/>
    </row>
    <row r="85" spans="1:9" x14ac:dyDescent="0.3">
      <c r="A85" s="9" t="s">
        <v>46</v>
      </c>
      <c r="B85" s="10" t="s">
        <v>27</v>
      </c>
      <c r="C85" s="11" t="s">
        <v>16</v>
      </c>
      <c r="D85" s="10" t="s">
        <v>18</v>
      </c>
      <c r="E85" s="12">
        <v>41745</v>
      </c>
      <c r="F85" s="31">
        <v>799.95</v>
      </c>
      <c r="G85" s="13">
        <v>7</v>
      </c>
      <c r="H85" s="31">
        <f t="shared" si="3"/>
        <v>5599.6500000000005</v>
      </c>
      <c r="I85" s="19"/>
    </row>
    <row r="86" spans="1:9" x14ac:dyDescent="0.3">
      <c r="A86" s="9" t="s">
        <v>36</v>
      </c>
      <c r="B86" s="10" t="s">
        <v>24</v>
      </c>
      <c r="C86" s="11" t="s">
        <v>15</v>
      </c>
      <c r="D86" s="10" t="s">
        <v>20</v>
      </c>
      <c r="E86" s="12">
        <v>42231</v>
      </c>
      <c r="F86" s="31">
        <v>79.989999999999995</v>
      </c>
      <c r="G86" s="13">
        <v>8</v>
      </c>
      <c r="H86" s="31">
        <f t="shared" si="3"/>
        <v>639.91999999999996</v>
      </c>
      <c r="I86" s="19"/>
    </row>
    <row r="87" spans="1:9" x14ac:dyDescent="0.3">
      <c r="A87" s="9" t="s">
        <v>0</v>
      </c>
      <c r="B87" s="10" t="s">
        <v>27</v>
      </c>
      <c r="C87" s="11" t="s">
        <v>14</v>
      </c>
      <c r="D87" s="10" t="s">
        <v>22</v>
      </c>
      <c r="E87" s="12">
        <v>42235</v>
      </c>
      <c r="F87" s="31">
        <v>799.95</v>
      </c>
      <c r="G87" s="13">
        <v>13</v>
      </c>
      <c r="H87" s="31">
        <f t="shared" si="3"/>
        <v>10399.35</v>
      </c>
      <c r="I87" s="19"/>
    </row>
    <row r="88" spans="1:9" x14ac:dyDescent="0.3">
      <c r="A88" s="9" t="s">
        <v>42</v>
      </c>
      <c r="B88" s="10" t="s">
        <v>23</v>
      </c>
      <c r="C88" s="11" t="s">
        <v>15</v>
      </c>
      <c r="D88" s="10" t="s">
        <v>18</v>
      </c>
      <c r="E88" s="12">
        <v>41891</v>
      </c>
      <c r="F88" s="31">
        <v>340.95</v>
      </c>
      <c r="G88" s="13">
        <v>7</v>
      </c>
      <c r="H88" s="31">
        <f t="shared" si="3"/>
        <v>2386.65</v>
      </c>
      <c r="I88" s="19"/>
    </row>
    <row r="89" spans="1:9" x14ac:dyDescent="0.3">
      <c r="A89" s="9" t="s">
        <v>0</v>
      </c>
      <c r="B89" s="10" t="s">
        <v>24</v>
      </c>
      <c r="C89" s="11" t="s">
        <v>14</v>
      </c>
      <c r="D89" s="10" t="s">
        <v>21</v>
      </c>
      <c r="E89" s="12">
        <v>41787</v>
      </c>
      <c r="F89" s="31">
        <v>79.989999999999995</v>
      </c>
      <c r="G89" s="13">
        <v>1</v>
      </c>
      <c r="H89" s="31">
        <f t="shared" si="3"/>
        <v>79.989999999999995</v>
      </c>
      <c r="I89" s="19"/>
    </row>
    <row r="90" spans="1:9" x14ac:dyDescent="0.3">
      <c r="A90" s="17" t="s">
        <v>41</v>
      </c>
      <c r="B90" s="10" t="s">
        <v>25</v>
      </c>
      <c r="C90" s="11" t="s">
        <v>17</v>
      </c>
      <c r="D90" s="10" t="s">
        <v>19</v>
      </c>
      <c r="E90" s="12">
        <v>42323</v>
      </c>
      <c r="F90" s="31">
        <v>340.95</v>
      </c>
      <c r="G90" s="13">
        <v>13</v>
      </c>
      <c r="H90" s="31">
        <f t="shared" si="3"/>
        <v>4432.3499999999995</v>
      </c>
      <c r="I90" s="19"/>
    </row>
    <row r="91" spans="1:9" x14ac:dyDescent="0.3">
      <c r="A91" s="9" t="s">
        <v>40</v>
      </c>
      <c r="B91" s="10" t="s">
        <v>25</v>
      </c>
      <c r="C91" s="11" t="s">
        <v>17</v>
      </c>
      <c r="D91" s="10" t="s">
        <v>18</v>
      </c>
      <c r="E91" s="12">
        <v>42194</v>
      </c>
      <c r="F91" s="31">
        <v>340.95</v>
      </c>
      <c r="G91" s="13">
        <v>6</v>
      </c>
      <c r="H91" s="31">
        <f t="shared" si="3"/>
        <v>2045.6999999999998</v>
      </c>
      <c r="I91" s="19"/>
    </row>
    <row r="92" spans="1:9" x14ac:dyDescent="0.3">
      <c r="A92" s="17" t="s">
        <v>39</v>
      </c>
      <c r="B92" s="10" t="s">
        <v>27</v>
      </c>
      <c r="C92" s="11" t="s">
        <v>14</v>
      </c>
      <c r="D92" s="10" t="s">
        <v>18</v>
      </c>
      <c r="E92" s="12">
        <v>42327</v>
      </c>
      <c r="F92" s="31">
        <v>799.95</v>
      </c>
      <c r="G92" s="13">
        <v>19</v>
      </c>
      <c r="H92" s="31">
        <f t="shared" si="3"/>
        <v>15199.050000000001</v>
      </c>
      <c r="I92" s="19"/>
    </row>
    <row r="93" spans="1:9" x14ac:dyDescent="0.3">
      <c r="A93" s="9" t="s">
        <v>40</v>
      </c>
      <c r="B93" s="10" t="s">
        <v>25</v>
      </c>
      <c r="C93" s="11" t="s">
        <v>17</v>
      </c>
      <c r="D93" s="10" t="s">
        <v>18</v>
      </c>
      <c r="E93" s="12">
        <v>42362</v>
      </c>
      <c r="F93" s="31">
        <v>340.95</v>
      </c>
      <c r="G93" s="13">
        <v>18</v>
      </c>
      <c r="H93" s="31">
        <f t="shared" si="3"/>
        <v>6137.0999999999995</v>
      </c>
      <c r="I93" s="19"/>
    </row>
    <row r="94" spans="1:9" x14ac:dyDescent="0.3">
      <c r="A94" s="17" t="s">
        <v>44</v>
      </c>
      <c r="B94" s="10" t="s">
        <v>26</v>
      </c>
      <c r="C94" s="11" t="s">
        <v>14</v>
      </c>
      <c r="D94" s="10" t="s">
        <v>18</v>
      </c>
      <c r="E94" s="12">
        <v>41787</v>
      </c>
      <c r="F94" s="31">
        <v>168.95</v>
      </c>
      <c r="G94" s="13">
        <v>6</v>
      </c>
      <c r="H94" s="31">
        <f t="shared" si="3"/>
        <v>1013.6999999999999</v>
      </c>
      <c r="I94" s="19"/>
    </row>
    <row r="95" spans="1:9" x14ac:dyDescent="0.3">
      <c r="A95" s="17" t="s">
        <v>39</v>
      </c>
      <c r="B95" s="10" t="s">
        <v>25</v>
      </c>
      <c r="C95" s="11" t="s">
        <v>14</v>
      </c>
      <c r="D95" s="10" t="s">
        <v>18</v>
      </c>
      <c r="E95" s="12">
        <v>42355</v>
      </c>
      <c r="F95" s="31">
        <v>340.95</v>
      </c>
      <c r="G95" s="13">
        <v>8</v>
      </c>
      <c r="H95" s="31">
        <f t="shared" si="3"/>
        <v>2727.6</v>
      </c>
      <c r="I95" s="19"/>
    </row>
    <row r="96" spans="1:9" x14ac:dyDescent="0.3">
      <c r="A96" s="17" t="s">
        <v>39</v>
      </c>
      <c r="B96" s="10" t="s">
        <v>23</v>
      </c>
      <c r="C96" s="11" t="s">
        <v>14</v>
      </c>
      <c r="D96" s="10" t="s">
        <v>21</v>
      </c>
      <c r="E96" s="12">
        <v>42340</v>
      </c>
      <c r="F96" s="31">
        <v>340.95</v>
      </c>
      <c r="G96" s="13">
        <v>9</v>
      </c>
      <c r="H96" s="31">
        <f t="shared" si="3"/>
        <v>3068.5499999999997</v>
      </c>
      <c r="I96" s="19"/>
    </row>
    <row r="97" spans="1:9" x14ac:dyDescent="0.3">
      <c r="A97" s="17" t="s">
        <v>44</v>
      </c>
      <c r="B97" s="10" t="s">
        <v>23</v>
      </c>
      <c r="C97" s="11" t="s">
        <v>14</v>
      </c>
      <c r="D97" s="10" t="s">
        <v>20</v>
      </c>
      <c r="E97" s="12">
        <v>41966</v>
      </c>
      <c r="F97" s="31">
        <v>340.95</v>
      </c>
      <c r="G97" s="13">
        <v>15</v>
      </c>
      <c r="H97" s="31">
        <f t="shared" si="3"/>
        <v>5114.25</v>
      </c>
      <c r="I97" s="19"/>
    </row>
    <row r="98" spans="1:9" x14ac:dyDescent="0.3">
      <c r="A98" s="17" t="s">
        <v>41</v>
      </c>
      <c r="B98" s="10" t="s">
        <v>26</v>
      </c>
      <c r="C98" s="11" t="s">
        <v>17</v>
      </c>
      <c r="D98" s="10" t="s">
        <v>22</v>
      </c>
      <c r="E98" s="12">
        <v>41916</v>
      </c>
      <c r="F98" s="31">
        <v>168.95</v>
      </c>
      <c r="G98" s="13">
        <v>6</v>
      </c>
      <c r="H98" s="31">
        <f t="shared" si="3"/>
        <v>1013.6999999999999</v>
      </c>
      <c r="I98" s="19"/>
    </row>
    <row r="99" spans="1:9" x14ac:dyDescent="0.3">
      <c r="A99" s="9" t="s">
        <v>40</v>
      </c>
      <c r="B99" s="10" t="s">
        <v>25</v>
      </c>
      <c r="C99" s="11" t="s">
        <v>17</v>
      </c>
      <c r="D99" s="10" t="s">
        <v>19</v>
      </c>
      <c r="E99" s="12">
        <v>41937</v>
      </c>
      <c r="F99" s="31">
        <v>340.95</v>
      </c>
      <c r="G99" s="13">
        <v>5</v>
      </c>
      <c r="H99" s="31">
        <f t="shared" si="3"/>
        <v>1704.75</v>
      </c>
      <c r="I99" s="19"/>
    </row>
    <row r="100" spans="1:9" x14ac:dyDescent="0.3">
      <c r="A100" s="17" t="s">
        <v>43</v>
      </c>
      <c r="B100" s="10" t="s">
        <v>26</v>
      </c>
      <c r="C100" s="11" t="s">
        <v>16</v>
      </c>
      <c r="D100" s="10" t="s">
        <v>20</v>
      </c>
      <c r="E100" s="12">
        <v>41871</v>
      </c>
      <c r="F100" s="31">
        <v>168.95</v>
      </c>
      <c r="G100" s="13">
        <v>8</v>
      </c>
      <c r="H100" s="31">
        <f t="shared" si="3"/>
        <v>1351.6</v>
      </c>
      <c r="I100" s="19"/>
    </row>
    <row r="101" spans="1:9" x14ac:dyDescent="0.3">
      <c r="A101" s="17" t="s">
        <v>41</v>
      </c>
      <c r="B101" s="10" t="s">
        <v>24</v>
      </c>
      <c r="C101" s="11" t="s">
        <v>17</v>
      </c>
      <c r="D101" s="10" t="s">
        <v>22</v>
      </c>
      <c r="E101" s="12">
        <v>41675</v>
      </c>
      <c r="F101" s="31">
        <v>79.989999999999995</v>
      </c>
      <c r="G101" s="13">
        <v>10</v>
      </c>
      <c r="H101" s="31">
        <f t="shared" si="3"/>
        <v>799.9</v>
      </c>
      <c r="I101" s="19"/>
    </row>
    <row r="102" spans="1:9" x14ac:dyDescent="0.3">
      <c r="A102" s="9" t="s">
        <v>36</v>
      </c>
      <c r="B102" s="10" t="s">
        <v>26</v>
      </c>
      <c r="C102" s="11" t="s">
        <v>15</v>
      </c>
      <c r="D102" s="10" t="s">
        <v>18</v>
      </c>
      <c r="E102" s="12">
        <v>41682</v>
      </c>
      <c r="F102" s="31">
        <v>168.95</v>
      </c>
      <c r="G102" s="13">
        <v>13</v>
      </c>
      <c r="H102" s="31">
        <f t="shared" si="3"/>
        <v>2196.35</v>
      </c>
      <c r="I102" s="19"/>
    </row>
    <row r="103" spans="1:9" x14ac:dyDescent="0.3">
      <c r="A103" s="17" t="s">
        <v>39</v>
      </c>
      <c r="B103" s="10" t="s">
        <v>27</v>
      </c>
      <c r="C103" s="11" t="s">
        <v>14</v>
      </c>
      <c r="D103" s="10" t="s">
        <v>19</v>
      </c>
      <c r="E103" s="12">
        <v>42158</v>
      </c>
      <c r="F103" s="31">
        <v>799.95</v>
      </c>
      <c r="G103" s="13">
        <v>10</v>
      </c>
      <c r="H103" s="31">
        <f t="shared" si="3"/>
        <v>7999.5</v>
      </c>
      <c r="I103" s="19"/>
    </row>
    <row r="104" spans="1:9" x14ac:dyDescent="0.3">
      <c r="A104" s="9" t="s">
        <v>36</v>
      </c>
      <c r="B104" s="10" t="s">
        <v>27</v>
      </c>
      <c r="C104" s="11" t="s">
        <v>15</v>
      </c>
      <c r="D104" s="10" t="s">
        <v>21</v>
      </c>
      <c r="E104" s="12">
        <v>41875</v>
      </c>
      <c r="F104" s="31">
        <v>799.95</v>
      </c>
      <c r="G104" s="13">
        <v>4</v>
      </c>
      <c r="H104" s="31">
        <f t="shared" si="3"/>
        <v>3199.8</v>
      </c>
      <c r="I104" s="19"/>
    </row>
    <row r="105" spans="1:9" x14ac:dyDescent="0.3">
      <c r="A105" s="9" t="s">
        <v>0</v>
      </c>
      <c r="B105" s="10" t="s">
        <v>23</v>
      </c>
      <c r="C105" s="11" t="s">
        <v>14</v>
      </c>
      <c r="D105" s="10" t="s">
        <v>22</v>
      </c>
      <c r="E105" s="12">
        <v>41738</v>
      </c>
      <c r="F105" s="31">
        <v>340.95</v>
      </c>
      <c r="G105" s="13">
        <v>11</v>
      </c>
      <c r="H105" s="31">
        <f t="shared" si="3"/>
        <v>3750.45</v>
      </c>
      <c r="I105" s="19"/>
    </row>
    <row r="106" spans="1:9" x14ac:dyDescent="0.3">
      <c r="A106" s="17" t="s">
        <v>41</v>
      </c>
      <c r="B106" s="10" t="s">
        <v>26</v>
      </c>
      <c r="C106" s="11" t="s">
        <v>17</v>
      </c>
      <c r="D106" s="10" t="s">
        <v>18</v>
      </c>
      <c r="E106" s="12">
        <v>42351</v>
      </c>
      <c r="F106" s="31">
        <v>168.95</v>
      </c>
      <c r="G106" s="13">
        <v>6</v>
      </c>
      <c r="H106" s="31">
        <f t="shared" si="3"/>
        <v>1013.6999999999999</v>
      </c>
      <c r="I106" s="19"/>
    </row>
    <row r="107" spans="1:9" x14ac:dyDescent="0.3">
      <c r="A107" s="9" t="s">
        <v>36</v>
      </c>
      <c r="B107" s="10" t="s">
        <v>24</v>
      </c>
      <c r="C107" s="11" t="s">
        <v>15</v>
      </c>
      <c r="D107" s="10" t="s">
        <v>21</v>
      </c>
      <c r="E107" s="12">
        <v>41716</v>
      </c>
      <c r="F107" s="31">
        <v>79.989999999999995</v>
      </c>
      <c r="G107" s="13">
        <v>9</v>
      </c>
      <c r="H107" s="31">
        <f t="shared" si="3"/>
        <v>719.91</v>
      </c>
      <c r="I107" s="19"/>
    </row>
    <row r="108" spans="1:9" x14ac:dyDescent="0.3">
      <c r="A108" s="17" t="s">
        <v>44</v>
      </c>
      <c r="B108" s="10" t="s">
        <v>26</v>
      </c>
      <c r="C108" s="11" t="s">
        <v>14</v>
      </c>
      <c r="D108" s="10" t="s">
        <v>21</v>
      </c>
      <c r="E108" s="12">
        <v>41808</v>
      </c>
      <c r="F108" s="31">
        <v>168.95</v>
      </c>
      <c r="G108" s="13">
        <v>6</v>
      </c>
      <c r="H108" s="31">
        <f t="shared" si="3"/>
        <v>1013.6999999999999</v>
      </c>
      <c r="I108" s="19"/>
    </row>
    <row r="109" spans="1:9" x14ac:dyDescent="0.3">
      <c r="A109" s="9" t="s">
        <v>38</v>
      </c>
      <c r="B109" s="10" t="s">
        <v>25</v>
      </c>
      <c r="C109" s="11" t="s">
        <v>16</v>
      </c>
      <c r="D109" s="10" t="s">
        <v>19</v>
      </c>
      <c r="E109" s="12">
        <v>41868</v>
      </c>
      <c r="F109" s="31">
        <v>340.95</v>
      </c>
      <c r="G109" s="13">
        <v>15</v>
      </c>
      <c r="H109" s="31">
        <f t="shared" si="3"/>
        <v>5114.25</v>
      </c>
      <c r="I109" s="19"/>
    </row>
    <row r="110" spans="1:9" x14ac:dyDescent="0.3">
      <c r="A110" s="9" t="s">
        <v>46</v>
      </c>
      <c r="B110" s="10" t="s">
        <v>26</v>
      </c>
      <c r="C110" s="11" t="s">
        <v>16</v>
      </c>
      <c r="D110" s="10" t="s">
        <v>19</v>
      </c>
      <c r="E110" s="12">
        <v>42031</v>
      </c>
      <c r="F110" s="31">
        <v>168.95</v>
      </c>
      <c r="G110" s="13">
        <v>11</v>
      </c>
      <c r="H110" s="31">
        <f t="shared" si="3"/>
        <v>1858.4499999999998</v>
      </c>
      <c r="I110" s="19"/>
    </row>
    <row r="111" spans="1:9" x14ac:dyDescent="0.3">
      <c r="A111" s="9" t="s">
        <v>46</v>
      </c>
      <c r="B111" s="10" t="s">
        <v>25</v>
      </c>
      <c r="C111" s="11" t="s">
        <v>16</v>
      </c>
      <c r="D111" s="10" t="s">
        <v>20</v>
      </c>
      <c r="E111" s="12">
        <v>42040</v>
      </c>
      <c r="F111" s="31">
        <v>340.95</v>
      </c>
      <c r="G111" s="13">
        <v>9</v>
      </c>
      <c r="H111" s="31">
        <f t="shared" si="3"/>
        <v>3068.5499999999997</v>
      </c>
      <c r="I111" s="19"/>
    </row>
    <row r="112" spans="1:9" x14ac:dyDescent="0.3">
      <c r="A112" s="17" t="s">
        <v>43</v>
      </c>
      <c r="B112" s="10" t="s">
        <v>27</v>
      </c>
      <c r="C112" s="11" t="s">
        <v>16</v>
      </c>
      <c r="D112" s="10" t="s">
        <v>20</v>
      </c>
      <c r="E112" s="12">
        <v>41968</v>
      </c>
      <c r="F112" s="31">
        <v>799.95</v>
      </c>
      <c r="G112" s="13">
        <v>2</v>
      </c>
      <c r="H112" s="31">
        <f t="shared" si="3"/>
        <v>1599.9</v>
      </c>
      <c r="I112" s="19"/>
    </row>
    <row r="113" spans="1:9" x14ac:dyDescent="0.3">
      <c r="A113" s="9" t="s">
        <v>46</v>
      </c>
      <c r="B113" s="10" t="s">
        <v>25</v>
      </c>
      <c r="C113" s="11" t="s">
        <v>16</v>
      </c>
      <c r="D113" s="10" t="s">
        <v>18</v>
      </c>
      <c r="E113" s="12">
        <v>41971</v>
      </c>
      <c r="F113" s="31">
        <v>340.95</v>
      </c>
      <c r="G113" s="13">
        <v>14</v>
      </c>
      <c r="H113" s="31">
        <f t="shared" si="3"/>
        <v>4773.3</v>
      </c>
      <c r="I113" s="19"/>
    </row>
    <row r="114" spans="1:9" x14ac:dyDescent="0.3">
      <c r="A114" s="17" t="s">
        <v>39</v>
      </c>
      <c r="B114" s="10" t="s">
        <v>26</v>
      </c>
      <c r="C114" s="11" t="s">
        <v>14</v>
      </c>
      <c r="D114" s="10" t="s">
        <v>21</v>
      </c>
      <c r="E114" s="12">
        <v>42046</v>
      </c>
      <c r="F114" s="31">
        <v>168.95</v>
      </c>
      <c r="G114" s="13">
        <v>14</v>
      </c>
      <c r="H114" s="31">
        <f t="shared" si="3"/>
        <v>2365.2999999999997</v>
      </c>
      <c r="I114" s="19"/>
    </row>
    <row r="115" spans="1:9" x14ac:dyDescent="0.3">
      <c r="A115" s="17" t="s">
        <v>39</v>
      </c>
      <c r="B115" s="10" t="s">
        <v>26</v>
      </c>
      <c r="C115" s="11" t="s">
        <v>14</v>
      </c>
      <c r="D115" s="10" t="s">
        <v>21</v>
      </c>
      <c r="E115" s="12">
        <v>42116</v>
      </c>
      <c r="F115" s="31">
        <v>168.95</v>
      </c>
      <c r="G115" s="13">
        <v>1</v>
      </c>
      <c r="H115" s="31">
        <f t="shared" si="3"/>
        <v>168.95</v>
      </c>
      <c r="I115" s="19"/>
    </row>
    <row r="116" spans="1:9" x14ac:dyDescent="0.3">
      <c r="A116" s="9" t="s">
        <v>46</v>
      </c>
      <c r="B116" s="10" t="s">
        <v>26</v>
      </c>
      <c r="C116" s="11" t="s">
        <v>16</v>
      </c>
      <c r="D116" s="10" t="s">
        <v>22</v>
      </c>
      <c r="E116" s="12">
        <v>41951</v>
      </c>
      <c r="F116" s="31">
        <v>168.95</v>
      </c>
      <c r="G116" s="13">
        <v>11</v>
      </c>
      <c r="H116" s="31">
        <f t="shared" si="3"/>
        <v>1858.4499999999998</v>
      </c>
      <c r="I116" s="19"/>
    </row>
    <row r="117" spans="1:9" x14ac:dyDescent="0.3">
      <c r="A117" s="17" t="s">
        <v>44</v>
      </c>
      <c r="B117" s="10" t="s">
        <v>26</v>
      </c>
      <c r="C117" s="11" t="s">
        <v>14</v>
      </c>
      <c r="D117" s="10" t="s">
        <v>18</v>
      </c>
      <c r="E117" s="12">
        <v>41955</v>
      </c>
      <c r="F117" s="31">
        <v>168.95</v>
      </c>
      <c r="G117" s="13">
        <v>11</v>
      </c>
      <c r="H117" s="31">
        <f t="shared" si="3"/>
        <v>1858.4499999999998</v>
      </c>
      <c r="I117" s="19"/>
    </row>
    <row r="118" spans="1:9" x14ac:dyDescent="0.3">
      <c r="A118" s="9" t="s">
        <v>40</v>
      </c>
      <c r="B118" s="10" t="s">
        <v>25</v>
      </c>
      <c r="C118" s="11" t="s">
        <v>17</v>
      </c>
      <c r="D118" s="10" t="s">
        <v>19</v>
      </c>
      <c r="E118" s="12">
        <v>42102</v>
      </c>
      <c r="F118" s="31">
        <v>340.95</v>
      </c>
      <c r="G118" s="13">
        <v>10</v>
      </c>
      <c r="H118" s="31">
        <f t="shared" si="3"/>
        <v>3409.5</v>
      </c>
      <c r="I118" s="19"/>
    </row>
    <row r="119" spans="1:9" x14ac:dyDescent="0.3">
      <c r="A119" s="17" t="s">
        <v>45</v>
      </c>
      <c r="B119" s="10" t="s">
        <v>26</v>
      </c>
      <c r="C119" s="11" t="s">
        <v>15</v>
      </c>
      <c r="D119" s="10" t="s">
        <v>22</v>
      </c>
      <c r="E119" s="12">
        <v>41934</v>
      </c>
      <c r="F119" s="31">
        <v>168.95</v>
      </c>
      <c r="G119" s="13">
        <v>2</v>
      </c>
      <c r="H119" s="31">
        <f t="shared" si="3"/>
        <v>337.9</v>
      </c>
      <c r="I119" s="19"/>
    </row>
    <row r="120" spans="1:9" x14ac:dyDescent="0.3">
      <c r="A120" s="17" t="s">
        <v>41</v>
      </c>
      <c r="B120" s="10" t="s">
        <v>24</v>
      </c>
      <c r="C120" s="11" t="s">
        <v>17</v>
      </c>
      <c r="D120" s="10" t="s">
        <v>19</v>
      </c>
      <c r="E120" s="12">
        <v>42319</v>
      </c>
      <c r="F120" s="31">
        <v>79.989999999999995</v>
      </c>
      <c r="G120" s="13">
        <v>1</v>
      </c>
      <c r="H120" s="31">
        <f t="shared" si="3"/>
        <v>79.989999999999995</v>
      </c>
      <c r="I120" s="19"/>
    </row>
    <row r="121" spans="1:9" x14ac:dyDescent="0.3">
      <c r="A121" s="9" t="s">
        <v>36</v>
      </c>
      <c r="B121" s="10" t="s">
        <v>27</v>
      </c>
      <c r="C121" s="11" t="s">
        <v>15</v>
      </c>
      <c r="D121" s="10" t="s">
        <v>21</v>
      </c>
      <c r="E121" s="12">
        <v>42174</v>
      </c>
      <c r="F121" s="31">
        <v>799.95</v>
      </c>
      <c r="G121" s="13">
        <v>1</v>
      </c>
      <c r="H121" s="31">
        <f t="shared" si="3"/>
        <v>799.95</v>
      </c>
      <c r="I121" s="19"/>
    </row>
    <row r="122" spans="1:9" x14ac:dyDescent="0.3">
      <c r="A122" s="9" t="s">
        <v>36</v>
      </c>
      <c r="B122" s="10" t="s">
        <v>27</v>
      </c>
      <c r="C122" s="11" t="s">
        <v>15</v>
      </c>
      <c r="D122" s="10" t="s">
        <v>18</v>
      </c>
      <c r="E122" s="12">
        <v>41809</v>
      </c>
      <c r="F122" s="31">
        <v>799.95</v>
      </c>
      <c r="G122" s="13">
        <v>19</v>
      </c>
      <c r="H122" s="31">
        <f t="shared" si="3"/>
        <v>15199.050000000001</v>
      </c>
      <c r="I122" s="19"/>
    </row>
    <row r="123" spans="1:9" x14ac:dyDescent="0.3">
      <c r="A123" s="9" t="s">
        <v>0</v>
      </c>
      <c r="B123" s="10" t="s">
        <v>27</v>
      </c>
      <c r="C123" s="11" t="s">
        <v>14</v>
      </c>
      <c r="D123" s="10" t="s">
        <v>22</v>
      </c>
      <c r="E123" s="12">
        <v>41901</v>
      </c>
      <c r="F123" s="31">
        <v>799.95</v>
      </c>
      <c r="G123" s="13">
        <v>13</v>
      </c>
      <c r="H123" s="31">
        <f t="shared" si="3"/>
        <v>10399.35</v>
      </c>
      <c r="I123" s="19"/>
    </row>
    <row r="124" spans="1:9" x14ac:dyDescent="0.3">
      <c r="A124" s="9" t="s">
        <v>0</v>
      </c>
      <c r="B124" s="10" t="s">
        <v>23</v>
      </c>
      <c r="C124" s="11" t="s">
        <v>14</v>
      </c>
      <c r="D124" s="10" t="s">
        <v>22</v>
      </c>
      <c r="E124" s="12">
        <v>42221</v>
      </c>
      <c r="F124" s="31">
        <v>340.95</v>
      </c>
      <c r="G124" s="13">
        <v>10</v>
      </c>
      <c r="H124" s="31">
        <f t="shared" si="3"/>
        <v>3409.5</v>
      </c>
      <c r="I124" s="19"/>
    </row>
    <row r="125" spans="1:9" x14ac:dyDescent="0.3">
      <c r="A125" s="17" t="s">
        <v>37</v>
      </c>
      <c r="B125" s="10" t="s">
        <v>23</v>
      </c>
      <c r="C125" s="11" t="s">
        <v>14</v>
      </c>
      <c r="D125" s="10" t="s">
        <v>18</v>
      </c>
      <c r="E125" s="12">
        <v>41872</v>
      </c>
      <c r="F125" s="31">
        <v>340.95</v>
      </c>
      <c r="G125" s="13">
        <v>6</v>
      </c>
      <c r="H125" s="31">
        <f t="shared" si="3"/>
        <v>2045.6999999999998</v>
      </c>
      <c r="I125" s="19"/>
    </row>
    <row r="126" spans="1:9" x14ac:dyDescent="0.3">
      <c r="A126" s="9" t="s">
        <v>46</v>
      </c>
      <c r="B126" s="10" t="s">
        <v>24</v>
      </c>
      <c r="C126" s="11" t="s">
        <v>16</v>
      </c>
      <c r="D126" s="10" t="s">
        <v>22</v>
      </c>
      <c r="E126" s="12">
        <v>41885</v>
      </c>
      <c r="F126" s="31">
        <v>79.989999999999995</v>
      </c>
      <c r="G126" s="13">
        <v>2</v>
      </c>
      <c r="H126" s="31">
        <f t="shared" si="3"/>
        <v>159.97999999999999</v>
      </c>
      <c r="I126" s="19"/>
    </row>
    <row r="127" spans="1:9" x14ac:dyDescent="0.3">
      <c r="A127" s="9" t="s">
        <v>36</v>
      </c>
      <c r="B127" s="10" t="s">
        <v>26</v>
      </c>
      <c r="C127" s="11" t="s">
        <v>15</v>
      </c>
      <c r="D127" s="10" t="s">
        <v>18</v>
      </c>
      <c r="E127" s="12">
        <v>42038</v>
      </c>
      <c r="F127" s="31">
        <v>168.95</v>
      </c>
      <c r="G127" s="13">
        <v>13</v>
      </c>
      <c r="H127" s="31">
        <f t="shared" si="3"/>
        <v>2196.35</v>
      </c>
      <c r="I127" s="19"/>
    </row>
    <row r="128" spans="1:9" x14ac:dyDescent="0.3">
      <c r="A128" s="17" t="s">
        <v>37</v>
      </c>
      <c r="B128" s="10" t="s">
        <v>27</v>
      </c>
      <c r="C128" s="11" t="s">
        <v>14</v>
      </c>
      <c r="D128" s="10" t="s">
        <v>22</v>
      </c>
      <c r="E128" s="12">
        <v>41899</v>
      </c>
      <c r="F128" s="31">
        <v>799.95</v>
      </c>
      <c r="G128" s="13">
        <v>10</v>
      </c>
      <c r="H128" s="31">
        <f t="shared" si="3"/>
        <v>7999.5</v>
      </c>
      <c r="I128" s="19"/>
    </row>
    <row r="129" spans="1:9" x14ac:dyDescent="0.3">
      <c r="A129" s="17" t="s">
        <v>39</v>
      </c>
      <c r="B129" s="10" t="s">
        <v>25</v>
      </c>
      <c r="C129" s="11" t="s">
        <v>14</v>
      </c>
      <c r="D129" s="10" t="s">
        <v>21</v>
      </c>
      <c r="E129" s="12">
        <v>42256</v>
      </c>
      <c r="F129" s="31">
        <v>340.95</v>
      </c>
      <c r="G129" s="13">
        <v>9</v>
      </c>
      <c r="H129" s="31">
        <f t="shared" si="3"/>
        <v>3068.5499999999997</v>
      </c>
      <c r="I129" s="19"/>
    </row>
    <row r="130" spans="1:9" x14ac:dyDescent="0.3">
      <c r="A130" s="9" t="s">
        <v>36</v>
      </c>
      <c r="B130" s="10" t="s">
        <v>26</v>
      </c>
      <c r="C130" s="11" t="s">
        <v>15</v>
      </c>
      <c r="D130" s="10" t="s">
        <v>22</v>
      </c>
      <c r="E130" s="12">
        <v>41920</v>
      </c>
      <c r="F130" s="31">
        <v>168.95</v>
      </c>
      <c r="G130" s="13">
        <v>4</v>
      </c>
      <c r="H130" s="31">
        <f t="shared" ref="H130:H193" si="4">F130*G130</f>
        <v>675.8</v>
      </c>
      <c r="I130" s="19"/>
    </row>
    <row r="131" spans="1:9" x14ac:dyDescent="0.3">
      <c r="A131" s="9" t="s">
        <v>42</v>
      </c>
      <c r="B131" s="10" t="s">
        <v>27</v>
      </c>
      <c r="C131" s="11" t="s">
        <v>15</v>
      </c>
      <c r="D131" s="10" t="s">
        <v>20</v>
      </c>
      <c r="E131" s="12">
        <v>41849</v>
      </c>
      <c r="F131" s="31">
        <v>799.95</v>
      </c>
      <c r="G131" s="13">
        <v>9</v>
      </c>
      <c r="H131" s="31">
        <f t="shared" si="4"/>
        <v>7199.55</v>
      </c>
      <c r="I131" s="19"/>
    </row>
    <row r="132" spans="1:9" x14ac:dyDescent="0.3">
      <c r="A132" s="9" t="s">
        <v>38</v>
      </c>
      <c r="B132" s="10" t="s">
        <v>23</v>
      </c>
      <c r="C132" s="11" t="s">
        <v>15</v>
      </c>
      <c r="D132" s="10" t="s">
        <v>22</v>
      </c>
      <c r="E132" s="12">
        <v>41928</v>
      </c>
      <c r="F132" s="31">
        <v>340.95</v>
      </c>
      <c r="G132" s="13">
        <v>3</v>
      </c>
      <c r="H132" s="31">
        <f t="shared" si="4"/>
        <v>1022.8499999999999</v>
      </c>
      <c r="I132" s="19"/>
    </row>
    <row r="133" spans="1:9" x14ac:dyDescent="0.3">
      <c r="A133" s="17" t="s">
        <v>43</v>
      </c>
      <c r="B133" s="10" t="s">
        <v>26</v>
      </c>
      <c r="C133" s="11" t="s">
        <v>16</v>
      </c>
      <c r="D133" s="10" t="s">
        <v>19</v>
      </c>
      <c r="E133" s="12">
        <v>41973</v>
      </c>
      <c r="F133" s="31">
        <v>168.95</v>
      </c>
      <c r="G133" s="13">
        <v>14</v>
      </c>
      <c r="H133" s="31">
        <f t="shared" si="4"/>
        <v>2365.2999999999997</v>
      </c>
      <c r="I133" s="19"/>
    </row>
    <row r="134" spans="1:9" x14ac:dyDescent="0.3">
      <c r="A134" s="17" t="s">
        <v>45</v>
      </c>
      <c r="B134" s="10" t="s">
        <v>26</v>
      </c>
      <c r="C134" s="11" t="s">
        <v>15</v>
      </c>
      <c r="D134" s="10" t="s">
        <v>18</v>
      </c>
      <c r="E134" s="12">
        <v>42052</v>
      </c>
      <c r="F134" s="31">
        <v>168.95</v>
      </c>
      <c r="G134" s="13">
        <v>14</v>
      </c>
      <c r="H134" s="31">
        <f t="shared" si="4"/>
        <v>2365.2999999999997</v>
      </c>
      <c r="I134" s="19"/>
    </row>
    <row r="135" spans="1:9" x14ac:dyDescent="0.3">
      <c r="A135" s="9" t="s">
        <v>46</v>
      </c>
      <c r="B135" s="10" t="s">
        <v>27</v>
      </c>
      <c r="C135" s="11" t="s">
        <v>16</v>
      </c>
      <c r="D135" s="10" t="s">
        <v>18</v>
      </c>
      <c r="E135" s="12">
        <v>42180</v>
      </c>
      <c r="F135" s="31">
        <v>799.95</v>
      </c>
      <c r="G135" s="13">
        <v>16</v>
      </c>
      <c r="H135" s="31">
        <f t="shared" si="4"/>
        <v>12799.2</v>
      </c>
      <c r="I135" s="19"/>
    </row>
    <row r="136" spans="1:9" x14ac:dyDescent="0.3">
      <c r="A136" s="9" t="s">
        <v>38</v>
      </c>
      <c r="B136" s="10" t="s">
        <v>25</v>
      </c>
      <c r="C136" s="11" t="s">
        <v>16</v>
      </c>
      <c r="D136" s="10" t="s">
        <v>18</v>
      </c>
      <c r="E136" s="12">
        <v>41972</v>
      </c>
      <c r="F136" s="31">
        <v>340.95</v>
      </c>
      <c r="G136" s="13">
        <v>17</v>
      </c>
      <c r="H136" s="31">
        <f t="shared" si="4"/>
        <v>5796.15</v>
      </c>
      <c r="I136" s="19"/>
    </row>
    <row r="137" spans="1:9" x14ac:dyDescent="0.3">
      <c r="A137" s="17" t="s">
        <v>37</v>
      </c>
      <c r="B137" s="10" t="s">
        <v>23</v>
      </c>
      <c r="C137" s="11" t="s">
        <v>14</v>
      </c>
      <c r="D137" s="10" t="s">
        <v>21</v>
      </c>
      <c r="E137" s="12">
        <v>42054</v>
      </c>
      <c r="F137" s="31">
        <v>340.95</v>
      </c>
      <c r="G137" s="13">
        <v>7</v>
      </c>
      <c r="H137" s="31">
        <f t="shared" si="4"/>
        <v>2386.65</v>
      </c>
      <c r="I137" s="19"/>
    </row>
    <row r="138" spans="1:9" x14ac:dyDescent="0.3">
      <c r="A138" s="17" t="s">
        <v>37</v>
      </c>
      <c r="B138" s="10" t="s">
        <v>25</v>
      </c>
      <c r="C138" s="11" t="s">
        <v>14</v>
      </c>
      <c r="D138" s="10" t="s">
        <v>20</v>
      </c>
      <c r="E138" s="12">
        <v>41923</v>
      </c>
      <c r="F138" s="31">
        <v>340.95</v>
      </c>
      <c r="G138" s="13">
        <v>12</v>
      </c>
      <c r="H138" s="31">
        <f t="shared" si="4"/>
        <v>4091.3999999999996</v>
      </c>
      <c r="I138" s="19"/>
    </row>
    <row r="139" spans="1:9" x14ac:dyDescent="0.3">
      <c r="A139" s="17" t="s">
        <v>37</v>
      </c>
      <c r="B139" s="10" t="s">
        <v>24</v>
      </c>
      <c r="C139" s="11" t="s">
        <v>14</v>
      </c>
      <c r="D139" s="10" t="s">
        <v>21</v>
      </c>
      <c r="E139" s="12">
        <v>42361</v>
      </c>
      <c r="F139" s="31">
        <v>79.989999999999995</v>
      </c>
      <c r="G139" s="13">
        <v>7</v>
      </c>
      <c r="H139" s="31">
        <f t="shared" si="4"/>
        <v>559.92999999999995</v>
      </c>
      <c r="I139" s="19"/>
    </row>
    <row r="140" spans="1:9" x14ac:dyDescent="0.3">
      <c r="A140" s="9" t="s">
        <v>40</v>
      </c>
      <c r="B140" s="10" t="s">
        <v>25</v>
      </c>
      <c r="C140" s="11" t="s">
        <v>17</v>
      </c>
      <c r="D140" s="10" t="s">
        <v>18</v>
      </c>
      <c r="E140" s="12">
        <v>42314</v>
      </c>
      <c r="F140" s="31">
        <v>340.95</v>
      </c>
      <c r="G140" s="13">
        <v>17</v>
      </c>
      <c r="H140" s="31">
        <f t="shared" si="4"/>
        <v>5796.15</v>
      </c>
      <c r="I140" s="19"/>
    </row>
    <row r="141" spans="1:9" x14ac:dyDescent="0.3">
      <c r="A141" s="9" t="s">
        <v>0</v>
      </c>
      <c r="B141" s="10" t="s">
        <v>24</v>
      </c>
      <c r="C141" s="11" t="s">
        <v>14</v>
      </c>
      <c r="D141" s="10" t="s">
        <v>21</v>
      </c>
      <c r="E141" s="12">
        <v>42186</v>
      </c>
      <c r="F141" s="31">
        <v>79.989999999999995</v>
      </c>
      <c r="G141" s="13">
        <v>4</v>
      </c>
      <c r="H141" s="31">
        <f t="shared" si="4"/>
        <v>319.95999999999998</v>
      </c>
      <c r="I141" s="19"/>
    </row>
    <row r="142" spans="1:9" x14ac:dyDescent="0.3">
      <c r="A142" s="17" t="s">
        <v>41</v>
      </c>
      <c r="B142" s="10" t="s">
        <v>26</v>
      </c>
      <c r="C142" s="11" t="s">
        <v>17</v>
      </c>
      <c r="D142" s="10" t="s">
        <v>19</v>
      </c>
      <c r="E142" s="12">
        <v>42256</v>
      </c>
      <c r="F142" s="31">
        <v>168.95</v>
      </c>
      <c r="G142" s="13">
        <v>15</v>
      </c>
      <c r="H142" s="31">
        <f t="shared" si="4"/>
        <v>2534.25</v>
      </c>
      <c r="I142" s="19"/>
    </row>
    <row r="143" spans="1:9" x14ac:dyDescent="0.3">
      <c r="A143" s="9" t="s">
        <v>46</v>
      </c>
      <c r="B143" s="10" t="s">
        <v>24</v>
      </c>
      <c r="C143" s="11" t="s">
        <v>16</v>
      </c>
      <c r="D143" s="10" t="s">
        <v>21</v>
      </c>
      <c r="E143" s="12">
        <v>41825</v>
      </c>
      <c r="F143" s="31">
        <v>79.989999999999995</v>
      </c>
      <c r="G143" s="13">
        <v>6</v>
      </c>
      <c r="H143" s="31">
        <f t="shared" si="4"/>
        <v>479.93999999999994</v>
      </c>
      <c r="I143" s="19"/>
    </row>
    <row r="144" spans="1:9" x14ac:dyDescent="0.3">
      <c r="A144" s="9" t="s">
        <v>38</v>
      </c>
      <c r="B144" s="10" t="s">
        <v>24</v>
      </c>
      <c r="C144" s="11" t="s">
        <v>15</v>
      </c>
      <c r="D144" s="10" t="s">
        <v>21</v>
      </c>
      <c r="E144" s="12">
        <v>41962</v>
      </c>
      <c r="F144" s="31">
        <v>79.989999999999995</v>
      </c>
      <c r="G144" s="13">
        <v>8</v>
      </c>
      <c r="H144" s="31">
        <f t="shared" si="4"/>
        <v>639.91999999999996</v>
      </c>
      <c r="I144" s="19"/>
    </row>
    <row r="145" spans="1:9" x14ac:dyDescent="0.3">
      <c r="A145" s="17" t="s">
        <v>43</v>
      </c>
      <c r="B145" s="10" t="s">
        <v>23</v>
      </c>
      <c r="C145" s="11" t="s">
        <v>16</v>
      </c>
      <c r="D145" s="10" t="s">
        <v>20</v>
      </c>
      <c r="E145" s="12">
        <v>41860</v>
      </c>
      <c r="F145" s="31">
        <v>340.95</v>
      </c>
      <c r="G145" s="13">
        <v>2</v>
      </c>
      <c r="H145" s="31">
        <f t="shared" si="4"/>
        <v>681.9</v>
      </c>
      <c r="I145" s="19"/>
    </row>
    <row r="146" spans="1:9" x14ac:dyDescent="0.3">
      <c r="A146" s="9" t="s">
        <v>46</v>
      </c>
      <c r="B146" s="10" t="s">
        <v>23</v>
      </c>
      <c r="C146" s="11" t="s">
        <v>16</v>
      </c>
      <c r="D146" s="10" t="s">
        <v>21</v>
      </c>
      <c r="E146" s="12">
        <v>42245</v>
      </c>
      <c r="F146" s="31">
        <v>340.95</v>
      </c>
      <c r="G146" s="13">
        <v>5</v>
      </c>
      <c r="H146" s="31">
        <f t="shared" si="4"/>
        <v>1704.75</v>
      </c>
      <c r="I146" s="19"/>
    </row>
    <row r="147" spans="1:9" x14ac:dyDescent="0.3">
      <c r="A147" s="9" t="s">
        <v>42</v>
      </c>
      <c r="B147" s="10" t="s">
        <v>27</v>
      </c>
      <c r="C147" s="11" t="s">
        <v>15</v>
      </c>
      <c r="D147" s="10" t="s">
        <v>18</v>
      </c>
      <c r="E147" s="12">
        <v>41690</v>
      </c>
      <c r="F147" s="31">
        <v>799.95</v>
      </c>
      <c r="G147" s="13">
        <v>18</v>
      </c>
      <c r="H147" s="31">
        <f t="shared" si="4"/>
        <v>14399.1</v>
      </c>
      <c r="I147" s="19"/>
    </row>
    <row r="148" spans="1:9" x14ac:dyDescent="0.3">
      <c r="A148" s="17" t="s">
        <v>45</v>
      </c>
      <c r="B148" s="10" t="s">
        <v>23</v>
      </c>
      <c r="C148" s="11" t="s">
        <v>15</v>
      </c>
      <c r="D148" s="10" t="s">
        <v>20</v>
      </c>
      <c r="E148" s="12">
        <v>41844</v>
      </c>
      <c r="F148" s="31">
        <v>340.95</v>
      </c>
      <c r="G148" s="13">
        <v>7</v>
      </c>
      <c r="H148" s="31">
        <f t="shared" si="4"/>
        <v>2386.65</v>
      </c>
      <c r="I148" s="19"/>
    </row>
    <row r="149" spans="1:9" x14ac:dyDescent="0.3">
      <c r="A149" s="9" t="s">
        <v>38</v>
      </c>
      <c r="B149" s="10" t="s">
        <v>25</v>
      </c>
      <c r="C149" s="11" t="s">
        <v>16</v>
      </c>
      <c r="D149" s="10" t="s">
        <v>22</v>
      </c>
      <c r="E149" s="12">
        <v>42202</v>
      </c>
      <c r="F149" s="31">
        <v>340.95</v>
      </c>
      <c r="G149" s="13">
        <v>2</v>
      </c>
      <c r="H149" s="31">
        <f t="shared" si="4"/>
        <v>681.9</v>
      </c>
      <c r="I149" s="19"/>
    </row>
    <row r="150" spans="1:9" x14ac:dyDescent="0.3">
      <c r="A150" s="9" t="s">
        <v>36</v>
      </c>
      <c r="B150" s="10" t="s">
        <v>26</v>
      </c>
      <c r="C150" s="11" t="s">
        <v>15</v>
      </c>
      <c r="D150" s="10" t="s">
        <v>18</v>
      </c>
      <c r="E150" s="12">
        <v>42001</v>
      </c>
      <c r="F150" s="31">
        <v>168.95</v>
      </c>
      <c r="G150" s="13">
        <v>20</v>
      </c>
      <c r="H150" s="31">
        <f t="shared" si="4"/>
        <v>3379</v>
      </c>
      <c r="I150" s="19"/>
    </row>
    <row r="151" spans="1:9" x14ac:dyDescent="0.3">
      <c r="A151" s="9" t="s">
        <v>36</v>
      </c>
      <c r="B151" s="10" t="s">
        <v>26</v>
      </c>
      <c r="C151" s="11" t="s">
        <v>15</v>
      </c>
      <c r="D151" s="10" t="s">
        <v>19</v>
      </c>
      <c r="E151" s="12">
        <v>41941</v>
      </c>
      <c r="F151" s="31">
        <v>168.95</v>
      </c>
      <c r="G151" s="13">
        <v>15</v>
      </c>
      <c r="H151" s="31">
        <f t="shared" si="4"/>
        <v>2534.25</v>
      </c>
      <c r="I151" s="19"/>
    </row>
    <row r="152" spans="1:9" x14ac:dyDescent="0.3">
      <c r="A152" s="9" t="s">
        <v>36</v>
      </c>
      <c r="B152" s="10" t="s">
        <v>26</v>
      </c>
      <c r="C152" s="11" t="s">
        <v>15</v>
      </c>
      <c r="D152" s="10" t="s">
        <v>18</v>
      </c>
      <c r="E152" s="12">
        <v>42265</v>
      </c>
      <c r="F152" s="31">
        <v>168.95</v>
      </c>
      <c r="G152" s="13">
        <v>20</v>
      </c>
      <c r="H152" s="31">
        <f t="shared" si="4"/>
        <v>3379</v>
      </c>
      <c r="I152" s="19"/>
    </row>
    <row r="153" spans="1:9" x14ac:dyDescent="0.3">
      <c r="A153" s="9" t="s">
        <v>38</v>
      </c>
      <c r="B153" s="10" t="s">
        <v>24</v>
      </c>
      <c r="C153" s="11" t="s">
        <v>15</v>
      </c>
      <c r="D153" s="10" t="s">
        <v>22</v>
      </c>
      <c r="E153" s="12">
        <v>41928</v>
      </c>
      <c r="F153" s="31">
        <v>79.989999999999995</v>
      </c>
      <c r="G153" s="13">
        <v>1</v>
      </c>
      <c r="H153" s="31">
        <f t="shared" si="4"/>
        <v>79.989999999999995</v>
      </c>
      <c r="I153" s="19"/>
    </row>
    <row r="154" spans="1:9" x14ac:dyDescent="0.3">
      <c r="A154" s="9" t="s">
        <v>42</v>
      </c>
      <c r="B154" s="10" t="s">
        <v>24</v>
      </c>
      <c r="C154" s="11" t="s">
        <v>15</v>
      </c>
      <c r="D154" s="10" t="s">
        <v>21</v>
      </c>
      <c r="E154" s="12">
        <v>42022</v>
      </c>
      <c r="F154" s="31">
        <v>79.989999999999995</v>
      </c>
      <c r="G154" s="13">
        <v>2</v>
      </c>
      <c r="H154" s="31">
        <f t="shared" si="4"/>
        <v>159.97999999999999</v>
      </c>
      <c r="I154" s="19"/>
    </row>
    <row r="155" spans="1:9" x14ac:dyDescent="0.3">
      <c r="A155" s="17" t="s">
        <v>41</v>
      </c>
      <c r="B155" s="10" t="s">
        <v>24</v>
      </c>
      <c r="C155" s="11" t="s">
        <v>17</v>
      </c>
      <c r="D155" s="10" t="s">
        <v>19</v>
      </c>
      <c r="E155" s="12">
        <v>41678</v>
      </c>
      <c r="F155" s="31">
        <v>79.989999999999995</v>
      </c>
      <c r="G155" s="13">
        <v>14</v>
      </c>
      <c r="H155" s="31">
        <f t="shared" si="4"/>
        <v>1119.8599999999999</v>
      </c>
      <c r="I155" s="19"/>
    </row>
    <row r="156" spans="1:9" x14ac:dyDescent="0.3">
      <c r="A156" s="9" t="s">
        <v>0</v>
      </c>
      <c r="B156" s="10" t="s">
        <v>26</v>
      </c>
      <c r="C156" s="11" t="s">
        <v>14</v>
      </c>
      <c r="D156" s="10" t="s">
        <v>22</v>
      </c>
      <c r="E156" s="12">
        <v>42236</v>
      </c>
      <c r="F156" s="31">
        <v>168.95</v>
      </c>
      <c r="G156" s="13">
        <v>2</v>
      </c>
      <c r="H156" s="31">
        <f t="shared" si="4"/>
        <v>337.9</v>
      </c>
      <c r="I156" s="19"/>
    </row>
    <row r="157" spans="1:9" x14ac:dyDescent="0.3">
      <c r="A157" s="9" t="s">
        <v>36</v>
      </c>
      <c r="B157" s="10" t="s">
        <v>27</v>
      </c>
      <c r="C157" s="11" t="s">
        <v>15</v>
      </c>
      <c r="D157" s="10" t="s">
        <v>22</v>
      </c>
      <c r="E157" s="12">
        <v>42228</v>
      </c>
      <c r="F157" s="31">
        <v>799.95</v>
      </c>
      <c r="G157" s="13">
        <v>12</v>
      </c>
      <c r="H157" s="31">
        <f t="shared" si="4"/>
        <v>9599.4000000000015</v>
      </c>
      <c r="I157" s="19"/>
    </row>
    <row r="158" spans="1:9" x14ac:dyDescent="0.3">
      <c r="A158" s="17" t="s">
        <v>39</v>
      </c>
      <c r="B158" s="10" t="s">
        <v>25</v>
      </c>
      <c r="C158" s="11" t="s">
        <v>14</v>
      </c>
      <c r="D158" s="10" t="s">
        <v>22</v>
      </c>
      <c r="E158" s="12">
        <v>42106</v>
      </c>
      <c r="F158" s="31">
        <v>340.95</v>
      </c>
      <c r="G158" s="13">
        <v>4</v>
      </c>
      <c r="H158" s="31">
        <f t="shared" si="4"/>
        <v>1363.8</v>
      </c>
      <c r="I158" s="19"/>
    </row>
    <row r="159" spans="1:9" x14ac:dyDescent="0.3">
      <c r="A159" s="9" t="s">
        <v>46</v>
      </c>
      <c r="B159" s="10" t="s">
        <v>23</v>
      </c>
      <c r="C159" s="11" t="s">
        <v>16</v>
      </c>
      <c r="D159" s="10" t="s">
        <v>18</v>
      </c>
      <c r="E159" s="12">
        <v>42000</v>
      </c>
      <c r="F159" s="31">
        <v>340.95</v>
      </c>
      <c r="G159" s="13">
        <v>16</v>
      </c>
      <c r="H159" s="31">
        <f t="shared" si="4"/>
        <v>5455.2</v>
      </c>
      <c r="I159" s="19"/>
    </row>
    <row r="160" spans="1:9" x14ac:dyDescent="0.3">
      <c r="A160" s="9" t="s">
        <v>42</v>
      </c>
      <c r="B160" s="10" t="s">
        <v>27</v>
      </c>
      <c r="C160" s="11" t="s">
        <v>15</v>
      </c>
      <c r="D160" s="10" t="s">
        <v>19</v>
      </c>
      <c r="E160" s="12">
        <v>41689</v>
      </c>
      <c r="F160" s="31">
        <v>799.95</v>
      </c>
      <c r="G160" s="13">
        <v>5</v>
      </c>
      <c r="H160" s="31">
        <f t="shared" si="4"/>
        <v>3999.75</v>
      </c>
      <c r="I160" s="19"/>
    </row>
    <row r="161" spans="1:9" x14ac:dyDescent="0.3">
      <c r="A161" s="17" t="s">
        <v>41</v>
      </c>
      <c r="B161" s="10" t="s">
        <v>24</v>
      </c>
      <c r="C161" s="11" t="s">
        <v>17</v>
      </c>
      <c r="D161" s="10" t="s">
        <v>22</v>
      </c>
      <c r="E161" s="12">
        <v>41843</v>
      </c>
      <c r="F161" s="31">
        <v>79.989999999999995</v>
      </c>
      <c r="G161" s="13">
        <v>13</v>
      </c>
      <c r="H161" s="31">
        <f t="shared" si="4"/>
        <v>1039.8699999999999</v>
      </c>
      <c r="I161" s="19"/>
    </row>
    <row r="162" spans="1:9" x14ac:dyDescent="0.3">
      <c r="A162" s="17" t="s">
        <v>45</v>
      </c>
      <c r="B162" s="10" t="s">
        <v>23</v>
      </c>
      <c r="C162" s="11" t="s">
        <v>15</v>
      </c>
      <c r="D162" s="10" t="s">
        <v>18</v>
      </c>
      <c r="E162" s="12">
        <v>41803</v>
      </c>
      <c r="F162" s="31">
        <v>340.95</v>
      </c>
      <c r="G162" s="13">
        <v>18</v>
      </c>
      <c r="H162" s="31">
        <f t="shared" si="4"/>
        <v>6137.0999999999995</v>
      </c>
      <c r="I162" s="19"/>
    </row>
    <row r="163" spans="1:9" x14ac:dyDescent="0.3">
      <c r="A163" s="9" t="s">
        <v>0</v>
      </c>
      <c r="B163" s="10" t="s">
        <v>25</v>
      </c>
      <c r="C163" s="11" t="s">
        <v>14</v>
      </c>
      <c r="D163" s="10" t="s">
        <v>21</v>
      </c>
      <c r="E163" s="12">
        <v>41754</v>
      </c>
      <c r="F163" s="31">
        <v>340.95</v>
      </c>
      <c r="G163" s="13">
        <v>8</v>
      </c>
      <c r="H163" s="31">
        <f t="shared" si="4"/>
        <v>2727.6</v>
      </c>
      <c r="I163" s="19"/>
    </row>
    <row r="164" spans="1:9" x14ac:dyDescent="0.3">
      <c r="A164" s="9" t="s">
        <v>46</v>
      </c>
      <c r="B164" s="10" t="s">
        <v>26</v>
      </c>
      <c r="C164" s="11" t="s">
        <v>16</v>
      </c>
      <c r="D164" s="10" t="s">
        <v>18</v>
      </c>
      <c r="E164" s="12">
        <v>41844</v>
      </c>
      <c r="F164" s="31">
        <v>168.95</v>
      </c>
      <c r="G164" s="13">
        <v>7</v>
      </c>
      <c r="H164" s="31">
        <f t="shared" si="4"/>
        <v>1182.6499999999999</v>
      </c>
      <c r="I164" s="19"/>
    </row>
    <row r="165" spans="1:9" x14ac:dyDescent="0.3">
      <c r="A165" s="17" t="s">
        <v>44</v>
      </c>
      <c r="B165" s="10" t="s">
        <v>25</v>
      </c>
      <c r="C165" s="11" t="s">
        <v>14</v>
      </c>
      <c r="D165" s="10" t="s">
        <v>18</v>
      </c>
      <c r="E165" s="12">
        <v>41711</v>
      </c>
      <c r="F165" s="31">
        <v>340.95</v>
      </c>
      <c r="G165" s="13">
        <v>17</v>
      </c>
      <c r="H165" s="31">
        <f t="shared" si="4"/>
        <v>5796.15</v>
      </c>
      <c r="I165" s="19"/>
    </row>
    <row r="166" spans="1:9" x14ac:dyDescent="0.3">
      <c r="A166" s="9" t="s">
        <v>38</v>
      </c>
      <c r="B166" s="10" t="s">
        <v>24</v>
      </c>
      <c r="C166" s="11" t="s">
        <v>15</v>
      </c>
      <c r="D166" s="10" t="s">
        <v>19</v>
      </c>
      <c r="E166" s="12">
        <v>41997</v>
      </c>
      <c r="F166" s="31">
        <v>79.989999999999995</v>
      </c>
      <c r="G166" s="13">
        <v>3</v>
      </c>
      <c r="H166" s="31">
        <f t="shared" si="4"/>
        <v>239.96999999999997</v>
      </c>
      <c r="I166" s="19"/>
    </row>
    <row r="167" spans="1:9" x14ac:dyDescent="0.3">
      <c r="A167" s="17" t="s">
        <v>37</v>
      </c>
      <c r="B167" s="10" t="s">
        <v>26</v>
      </c>
      <c r="C167" s="11" t="s">
        <v>14</v>
      </c>
      <c r="D167" s="10" t="s">
        <v>22</v>
      </c>
      <c r="E167" s="12">
        <v>41914</v>
      </c>
      <c r="F167" s="31">
        <v>168.95</v>
      </c>
      <c r="G167" s="13">
        <v>1</v>
      </c>
      <c r="H167" s="31">
        <f t="shared" si="4"/>
        <v>168.95</v>
      </c>
      <c r="I167" s="19"/>
    </row>
    <row r="168" spans="1:9" x14ac:dyDescent="0.3">
      <c r="A168" s="9" t="s">
        <v>40</v>
      </c>
      <c r="B168" s="10" t="s">
        <v>25</v>
      </c>
      <c r="C168" s="11" t="s">
        <v>17</v>
      </c>
      <c r="D168" s="10" t="s">
        <v>22</v>
      </c>
      <c r="E168" s="12">
        <v>42041</v>
      </c>
      <c r="F168" s="31">
        <v>340.95</v>
      </c>
      <c r="G168" s="13">
        <v>14</v>
      </c>
      <c r="H168" s="31">
        <f t="shared" si="4"/>
        <v>4773.3</v>
      </c>
      <c r="I168" s="19"/>
    </row>
    <row r="169" spans="1:9" x14ac:dyDescent="0.3">
      <c r="A169" s="9" t="s">
        <v>42</v>
      </c>
      <c r="B169" s="10" t="s">
        <v>23</v>
      </c>
      <c r="C169" s="11" t="s">
        <v>15</v>
      </c>
      <c r="D169" s="10" t="s">
        <v>21</v>
      </c>
      <c r="E169" s="12">
        <v>42013</v>
      </c>
      <c r="F169" s="31">
        <v>340.95</v>
      </c>
      <c r="G169" s="13">
        <v>1</v>
      </c>
      <c r="H169" s="31">
        <f t="shared" si="4"/>
        <v>340.95</v>
      </c>
      <c r="I169" s="19"/>
    </row>
    <row r="170" spans="1:9" x14ac:dyDescent="0.3">
      <c r="A170" s="9" t="s">
        <v>38</v>
      </c>
      <c r="B170" s="10" t="s">
        <v>27</v>
      </c>
      <c r="C170" s="11" t="s">
        <v>15</v>
      </c>
      <c r="D170" s="10" t="s">
        <v>20</v>
      </c>
      <c r="E170" s="12">
        <v>42265</v>
      </c>
      <c r="F170" s="31">
        <v>799.95</v>
      </c>
      <c r="G170" s="13">
        <v>9</v>
      </c>
      <c r="H170" s="31">
        <f t="shared" si="4"/>
        <v>7199.55</v>
      </c>
      <c r="I170" s="19"/>
    </row>
    <row r="171" spans="1:9" x14ac:dyDescent="0.3">
      <c r="A171" s="9" t="s">
        <v>38</v>
      </c>
      <c r="B171" s="10" t="s">
        <v>26</v>
      </c>
      <c r="C171" s="11" t="s">
        <v>15</v>
      </c>
      <c r="D171" s="10" t="s">
        <v>21</v>
      </c>
      <c r="E171" s="12">
        <v>41783</v>
      </c>
      <c r="F171" s="31">
        <v>168.95</v>
      </c>
      <c r="G171" s="13">
        <v>4</v>
      </c>
      <c r="H171" s="31">
        <f t="shared" si="4"/>
        <v>675.8</v>
      </c>
      <c r="I171" s="19"/>
    </row>
    <row r="172" spans="1:9" x14ac:dyDescent="0.3">
      <c r="A172" s="9" t="s">
        <v>46</v>
      </c>
      <c r="B172" s="10" t="s">
        <v>25</v>
      </c>
      <c r="C172" s="11" t="s">
        <v>16</v>
      </c>
      <c r="D172" s="10" t="s">
        <v>22</v>
      </c>
      <c r="E172" s="12">
        <v>41962</v>
      </c>
      <c r="F172" s="31">
        <v>340.95</v>
      </c>
      <c r="G172" s="13">
        <v>9</v>
      </c>
      <c r="H172" s="31">
        <f t="shared" si="4"/>
        <v>3068.5499999999997</v>
      </c>
      <c r="I172" s="19"/>
    </row>
    <row r="173" spans="1:9" x14ac:dyDescent="0.3">
      <c r="A173" s="17" t="s">
        <v>45</v>
      </c>
      <c r="B173" s="10" t="s">
        <v>25</v>
      </c>
      <c r="C173" s="11" t="s">
        <v>15</v>
      </c>
      <c r="D173" s="10" t="s">
        <v>18</v>
      </c>
      <c r="E173" s="12">
        <v>41676</v>
      </c>
      <c r="F173" s="31">
        <v>340.95</v>
      </c>
      <c r="G173" s="13">
        <v>9</v>
      </c>
      <c r="H173" s="31">
        <f t="shared" si="4"/>
        <v>3068.5499999999997</v>
      </c>
      <c r="I173" s="19"/>
    </row>
    <row r="174" spans="1:9" x14ac:dyDescent="0.3">
      <c r="A174" s="9" t="s">
        <v>46</v>
      </c>
      <c r="B174" s="10" t="s">
        <v>26</v>
      </c>
      <c r="C174" s="11" t="s">
        <v>16</v>
      </c>
      <c r="D174" s="10" t="s">
        <v>21</v>
      </c>
      <c r="E174" s="12">
        <v>41969</v>
      </c>
      <c r="F174" s="31">
        <v>168.95</v>
      </c>
      <c r="G174" s="13">
        <v>2</v>
      </c>
      <c r="H174" s="31">
        <f t="shared" si="4"/>
        <v>337.9</v>
      </c>
      <c r="I174" s="19"/>
    </row>
    <row r="175" spans="1:9" x14ac:dyDescent="0.3">
      <c r="A175" s="9" t="s">
        <v>38</v>
      </c>
      <c r="B175" s="10" t="s">
        <v>26</v>
      </c>
      <c r="C175" s="11" t="s">
        <v>15</v>
      </c>
      <c r="D175" s="10" t="s">
        <v>18</v>
      </c>
      <c r="E175" s="12">
        <v>41947</v>
      </c>
      <c r="F175" s="31">
        <v>168.95</v>
      </c>
      <c r="G175" s="13">
        <v>11</v>
      </c>
      <c r="H175" s="31">
        <f t="shared" si="4"/>
        <v>1858.4499999999998</v>
      </c>
      <c r="I175" s="19"/>
    </row>
    <row r="176" spans="1:9" x14ac:dyDescent="0.3">
      <c r="A176" s="9" t="s">
        <v>0</v>
      </c>
      <c r="B176" s="10" t="s">
        <v>23</v>
      </c>
      <c r="C176" s="11" t="s">
        <v>14</v>
      </c>
      <c r="D176" s="10" t="s">
        <v>19</v>
      </c>
      <c r="E176" s="12">
        <v>42134</v>
      </c>
      <c r="F176" s="31">
        <v>340.95</v>
      </c>
      <c r="G176" s="13">
        <v>8</v>
      </c>
      <c r="H176" s="31">
        <f t="shared" si="4"/>
        <v>2727.6</v>
      </c>
      <c r="I176" s="19"/>
    </row>
    <row r="177" spans="1:9" x14ac:dyDescent="0.3">
      <c r="A177" s="9" t="s">
        <v>38</v>
      </c>
      <c r="B177" s="10" t="s">
        <v>26</v>
      </c>
      <c r="C177" s="11" t="s">
        <v>15</v>
      </c>
      <c r="D177" s="10" t="s">
        <v>21</v>
      </c>
      <c r="E177" s="12">
        <v>41997</v>
      </c>
      <c r="F177" s="31">
        <v>168.95</v>
      </c>
      <c r="G177" s="13">
        <v>9</v>
      </c>
      <c r="H177" s="31">
        <f t="shared" si="4"/>
        <v>1520.55</v>
      </c>
      <c r="I177" s="19"/>
    </row>
    <row r="178" spans="1:9" x14ac:dyDescent="0.3">
      <c r="A178" s="9" t="s">
        <v>46</v>
      </c>
      <c r="B178" s="10" t="s">
        <v>25</v>
      </c>
      <c r="C178" s="11" t="s">
        <v>16</v>
      </c>
      <c r="D178" s="10" t="s">
        <v>18</v>
      </c>
      <c r="E178" s="12">
        <v>42040</v>
      </c>
      <c r="F178" s="31">
        <v>340.95</v>
      </c>
      <c r="G178" s="13">
        <v>12</v>
      </c>
      <c r="H178" s="31">
        <f t="shared" si="4"/>
        <v>4091.3999999999996</v>
      </c>
      <c r="I178" s="19"/>
    </row>
    <row r="179" spans="1:9" x14ac:dyDescent="0.3">
      <c r="A179" s="9" t="s">
        <v>36</v>
      </c>
      <c r="B179" s="10" t="s">
        <v>26</v>
      </c>
      <c r="C179" s="11" t="s">
        <v>15</v>
      </c>
      <c r="D179" s="10" t="s">
        <v>20</v>
      </c>
      <c r="E179" s="12">
        <v>42040</v>
      </c>
      <c r="F179" s="31">
        <v>168.95</v>
      </c>
      <c r="G179" s="13">
        <v>6</v>
      </c>
      <c r="H179" s="31">
        <f t="shared" si="4"/>
        <v>1013.6999999999999</v>
      </c>
      <c r="I179" s="19"/>
    </row>
    <row r="180" spans="1:9" x14ac:dyDescent="0.3">
      <c r="A180" s="17" t="s">
        <v>43</v>
      </c>
      <c r="B180" s="10" t="s">
        <v>24</v>
      </c>
      <c r="C180" s="11" t="s">
        <v>16</v>
      </c>
      <c r="D180" s="10" t="s">
        <v>20</v>
      </c>
      <c r="E180" s="12">
        <v>42029</v>
      </c>
      <c r="F180" s="31">
        <v>79.989999999999995</v>
      </c>
      <c r="G180" s="13">
        <v>10</v>
      </c>
      <c r="H180" s="31">
        <f t="shared" si="4"/>
        <v>799.9</v>
      </c>
      <c r="I180" s="19"/>
    </row>
    <row r="181" spans="1:9" x14ac:dyDescent="0.3">
      <c r="A181" s="17" t="s">
        <v>39</v>
      </c>
      <c r="B181" s="10" t="s">
        <v>26</v>
      </c>
      <c r="C181" s="11" t="s">
        <v>14</v>
      </c>
      <c r="D181" s="10" t="s">
        <v>18</v>
      </c>
      <c r="E181" s="12">
        <v>42106</v>
      </c>
      <c r="F181" s="31">
        <v>168.95</v>
      </c>
      <c r="G181" s="13">
        <v>8</v>
      </c>
      <c r="H181" s="31">
        <f t="shared" si="4"/>
        <v>1351.6</v>
      </c>
      <c r="I181" s="19"/>
    </row>
    <row r="182" spans="1:9" x14ac:dyDescent="0.3">
      <c r="A182" s="17" t="s">
        <v>41</v>
      </c>
      <c r="B182" s="10" t="s">
        <v>23</v>
      </c>
      <c r="C182" s="11" t="s">
        <v>17</v>
      </c>
      <c r="D182" s="10" t="s">
        <v>20</v>
      </c>
      <c r="E182" s="12">
        <v>41943</v>
      </c>
      <c r="F182" s="31">
        <v>340.95</v>
      </c>
      <c r="G182" s="13">
        <v>15</v>
      </c>
      <c r="H182" s="31">
        <f t="shared" si="4"/>
        <v>5114.25</v>
      </c>
      <c r="I182" s="19"/>
    </row>
    <row r="183" spans="1:9" x14ac:dyDescent="0.3">
      <c r="A183" s="9" t="s">
        <v>40</v>
      </c>
      <c r="B183" s="10" t="s">
        <v>26</v>
      </c>
      <c r="C183" s="11" t="s">
        <v>17</v>
      </c>
      <c r="D183" s="10" t="s">
        <v>22</v>
      </c>
      <c r="E183" s="12">
        <v>41740</v>
      </c>
      <c r="F183" s="31">
        <v>168.95</v>
      </c>
      <c r="G183" s="13">
        <v>3</v>
      </c>
      <c r="H183" s="31">
        <f t="shared" si="4"/>
        <v>506.84999999999997</v>
      </c>
      <c r="I183" s="19"/>
    </row>
    <row r="184" spans="1:9" x14ac:dyDescent="0.3">
      <c r="A184" s="17" t="s">
        <v>41</v>
      </c>
      <c r="B184" s="10" t="s">
        <v>24</v>
      </c>
      <c r="C184" s="11" t="s">
        <v>17</v>
      </c>
      <c r="D184" s="10" t="s">
        <v>19</v>
      </c>
      <c r="E184" s="12">
        <v>41761</v>
      </c>
      <c r="F184" s="31">
        <v>79.989999999999995</v>
      </c>
      <c r="G184" s="13">
        <v>1</v>
      </c>
      <c r="H184" s="31">
        <f t="shared" si="4"/>
        <v>79.989999999999995</v>
      </c>
      <c r="I184" s="19"/>
    </row>
    <row r="185" spans="1:9" x14ac:dyDescent="0.3">
      <c r="A185" s="9" t="s">
        <v>0</v>
      </c>
      <c r="B185" s="10" t="s">
        <v>23</v>
      </c>
      <c r="C185" s="11" t="s">
        <v>14</v>
      </c>
      <c r="D185" s="10" t="s">
        <v>20</v>
      </c>
      <c r="E185" s="12">
        <v>42066</v>
      </c>
      <c r="F185" s="31">
        <v>340.95</v>
      </c>
      <c r="G185" s="13">
        <v>12</v>
      </c>
      <c r="H185" s="31">
        <f t="shared" si="4"/>
        <v>4091.3999999999996</v>
      </c>
      <c r="I185" s="19"/>
    </row>
    <row r="186" spans="1:9" x14ac:dyDescent="0.3">
      <c r="A186" s="17" t="s">
        <v>45</v>
      </c>
      <c r="B186" s="10" t="s">
        <v>27</v>
      </c>
      <c r="C186" s="11" t="s">
        <v>15</v>
      </c>
      <c r="D186" s="10" t="s">
        <v>20</v>
      </c>
      <c r="E186" s="12">
        <v>42117</v>
      </c>
      <c r="F186" s="31">
        <v>799.95</v>
      </c>
      <c r="G186" s="13">
        <v>5</v>
      </c>
      <c r="H186" s="31">
        <f t="shared" si="4"/>
        <v>3999.75</v>
      </c>
      <c r="I186" s="19"/>
    </row>
    <row r="187" spans="1:9" x14ac:dyDescent="0.3">
      <c r="A187" s="9" t="s">
        <v>38</v>
      </c>
      <c r="B187" s="10" t="s">
        <v>27</v>
      </c>
      <c r="C187" s="11" t="s">
        <v>15</v>
      </c>
      <c r="D187" s="10" t="s">
        <v>21</v>
      </c>
      <c r="E187" s="12">
        <v>42280</v>
      </c>
      <c r="F187" s="31">
        <v>799.95</v>
      </c>
      <c r="G187" s="13">
        <v>9</v>
      </c>
      <c r="H187" s="31">
        <f t="shared" si="4"/>
        <v>7199.55</v>
      </c>
      <c r="I187" s="19"/>
    </row>
    <row r="188" spans="1:9" x14ac:dyDescent="0.3">
      <c r="A188" s="17" t="s">
        <v>45</v>
      </c>
      <c r="B188" s="10" t="s">
        <v>23</v>
      </c>
      <c r="C188" s="11" t="s">
        <v>15</v>
      </c>
      <c r="D188" s="10" t="s">
        <v>19</v>
      </c>
      <c r="E188" s="12">
        <v>41754</v>
      </c>
      <c r="F188" s="31">
        <v>340.95</v>
      </c>
      <c r="G188" s="13">
        <v>4</v>
      </c>
      <c r="H188" s="31">
        <f t="shared" si="4"/>
        <v>1363.8</v>
      </c>
      <c r="I188" s="19"/>
    </row>
    <row r="189" spans="1:9" x14ac:dyDescent="0.3">
      <c r="A189" s="17" t="s">
        <v>39</v>
      </c>
      <c r="B189" s="10" t="s">
        <v>26</v>
      </c>
      <c r="C189" s="11" t="s">
        <v>14</v>
      </c>
      <c r="D189" s="10" t="s">
        <v>20</v>
      </c>
      <c r="E189" s="12">
        <v>42316</v>
      </c>
      <c r="F189" s="31">
        <v>168.95</v>
      </c>
      <c r="G189" s="13">
        <v>9</v>
      </c>
      <c r="H189" s="31">
        <f t="shared" si="4"/>
        <v>1520.55</v>
      </c>
      <c r="I189" s="19"/>
    </row>
    <row r="190" spans="1:9" x14ac:dyDescent="0.3">
      <c r="A190" s="17" t="s">
        <v>43</v>
      </c>
      <c r="B190" s="10" t="s">
        <v>26</v>
      </c>
      <c r="C190" s="11" t="s">
        <v>16</v>
      </c>
      <c r="D190" s="10" t="s">
        <v>21</v>
      </c>
      <c r="E190" s="12">
        <v>42208</v>
      </c>
      <c r="F190" s="31">
        <v>168.95</v>
      </c>
      <c r="G190" s="13">
        <v>2</v>
      </c>
      <c r="H190" s="31">
        <f t="shared" si="4"/>
        <v>337.9</v>
      </c>
      <c r="I190" s="19"/>
    </row>
    <row r="191" spans="1:9" x14ac:dyDescent="0.3">
      <c r="A191" s="9" t="s">
        <v>0</v>
      </c>
      <c r="B191" s="10" t="s">
        <v>26</v>
      </c>
      <c r="C191" s="11" t="s">
        <v>14</v>
      </c>
      <c r="D191" s="10" t="s">
        <v>21</v>
      </c>
      <c r="E191" s="12">
        <v>42284</v>
      </c>
      <c r="F191" s="31">
        <v>168.95</v>
      </c>
      <c r="G191" s="13">
        <v>1</v>
      </c>
      <c r="H191" s="31">
        <f t="shared" si="4"/>
        <v>168.95</v>
      </c>
      <c r="I191" s="19"/>
    </row>
    <row r="192" spans="1:9" x14ac:dyDescent="0.3">
      <c r="A192" s="17" t="s">
        <v>44</v>
      </c>
      <c r="B192" s="10" t="s">
        <v>27</v>
      </c>
      <c r="C192" s="11" t="s">
        <v>14</v>
      </c>
      <c r="D192" s="10" t="s">
        <v>21</v>
      </c>
      <c r="E192" s="12">
        <v>41944</v>
      </c>
      <c r="F192" s="31">
        <v>799.95</v>
      </c>
      <c r="G192" s="13">
        <v>10</v>
      </c>
      <c r="H192" s="31">
        <f t="shared" si="4"/>
        <v>7999.5</v>
      </c>
      <c r="I192" s="19"/>
    </row>
    <row r="193" spans="1:9" x14ac:dyDescent="0.3">
      <c r="A193" s="17" t="s">
        <v>41</v>
      </c>
      <c r="B193" s="10" t="s">
        <v>27</v>
      </c>
      <c r="C193" s="11" t="s">
        <v>17</v>
      </c>
      <c r="D193" s="10" t="s">
        <v>22</v>
      </c>
      <c r="E193" s="12">
        <v>42055</v>
      </c>
      <c r="F193" s="31">
        <v>799.95</v>
      </c>
      <c r="G193" s="13">
        <v>4</v>
      </c>
      <c r="H193" s="31">
        <f t="shared" si="4"/>
        <v>3199.8</v>
      </c>
      <c r="I193" s="19"/>
    </row>
    <row r="194" spans="1:9" x14ac:dyDescent="0.3">
      <c r="A194" s="9" t="s">
        <v>36</v>
      </c>
      <c r="B194" s="10" t="s">
        <v>23</v>
      </c>
      <c r="C194" s="11" t="s">
        <v>15</v>
      </c>
      <c r="D194" s="10" t="s">
        <v>19</v>
      </c>
      <c r="E194" s="12">
        <v>42033</v>
      </c>
      <c r="F194" s="31">
        <v>340.95</v>
      </c>
      <c r="G194" s="13">
        <v>8</v>
      </c>
      <c r="H194" s="31">
        <f t="shared" ref="H194:H257" si="5">F194*G194</f>
        <v>2727.6</v>
      </c>
      <c r="I194" s="19"/>
    </row>
    <row r="195" spans="1:9" x14ac:dyDescent="0.3">
      <c r="A195" s="17" t="s">
        <v>41</v>
      </c>
      <c r="B195" s="10" t="s">
        <v>25</v>
      </c>
      <c r="C195" s="11" t="s">
        <v>17</v>
      </c>
      <c r="D195" s="10" t="s">
        <v>19</v>
      </c>
      <c r="E195" s="12">
        <v>41844</v>
      </c>
      <c r="F195" s="31">
        <v>340.95</v>
      </c>
      <c r="G195" s="13">
        <v>9</v>
      </c>
      <c r="H195" s="31">
        <f t="shared" si="5"/>
        <v>3068.5499999999997</v>
      </c>
      <c r="I195" s="19"/>
    </row>
    <row r="196" spans="1:9" x14ac:dyDescent="0.3">
      <c r="A196" s="17" t="s">
        <v>45</v>
      </c>
      <c r="B196" s="10" t="s">
        <v>26</v>
      </c>
      <c r="C196" s="11" t="s">
        <v>15</v>
      </c>
      <c r="D196" s="10" t="s">
        <v>18</v>
      </c>
      <c r="E196" s="12">
        <v>41793</v>
      </c>
      <c r="F196" s="31">
        <v>168.95</v>
      </c>
      <c r="G196" s="13">
        <v>14</v>
      </c>
      <c r="H196" s="31">
        <f t="shared" si="5"/>
        <v>2365.2999999999997</v>
      </c>
      <c r="I196" s="19"/>
    </row>
    <row r="197" spans="1:9" x14ac:dyDescent="0.3">
      <c r="A197" s="9" t="s">
        <v>36</v>
      </c>
      <c r="B197" s="10" t="s">
        <v>27</v>
      </c>
      <c r="C197" s="11" t="s">
        <v>15</v>
      </c>
      <c r="D197" s="10" t="s">
        <v>21</v>
      </c>
      <c r="E197" s="12">
        <v>42332</v>
      </c>
      <c r="F197" s="31">
        <v>799.95</v>
      </c>
      <c r="G197" s="13">
        <v>10</v>
      </c>
      <c r="H197" s="31">
        <f t="shared" si="5"/>
        <v>7999.5</v>
      </c>
      <c r="I197" s="19"/>
    </row>
    <row r="198" spans="1:9" x14ac:dyDescent="0.3">
      <c r="A198" s="9" t="s">
        <v>42</v>
      </c>
      <c r="B198" s="10" t="s">
        <v>26</v>
      </c>
      <c r="C198" s="11" t="s">
        <v>15</v>
      </c>
      <c r="D198" s="10" t="s">
        <v>22</v>
      </c>
      <c r="E198" s="12">
        <v>41686</v>
      </c>
      <c r="F198" s="31">
        <v>168.95</v>
      </c>
      <c r="G198" s="13">
        <v>11</v>
      </c>
      <c r="H198" s="31">
        <f t="shared" si="5"/>
        <v>1858.4499999999998</v>
      </c>
      <c r="I198" s="19"/>
    </row>
    <row r="199" spans="1:9" x14ac:dyDescent="0.3">
      <c r="A199" s="9" t="s">
        <v>36</v>
      </c>
      <c r="B199" s="10" t="s">
        <v>25</v>
      </c>
      <c r="C199" s="11" t="s">
        <v>15</v>
      </c>
      <c r="D199" s="10" t="s">
        <v>22</v>
      </c>
      <c r="E199" s="12">
        <v>42185</v>
      </c>
      <c r="F199" s="31">
        <v>340.95</v>
      </c>
      <c r="G199" s="13">
        <v>2</v>
      </c>
      <c r="H199" s="31">
        <f t="shared" si="5"/>
        <v>681.9</v>
      </c>
      <c r="I199" s="19"/>
    </row>
    <row r="200" spans="1:9" x14ac:dyDescent="0.3">
      <c r="A200" s="9" t="s">
        <v>0</v>
      </c>
      <c r="B200" s="10" t="s">
        <v>27</v>
      </c>
      <c r="C200" s="11" t="s">
        <v>14</v>
      </c>
      <c r="D200" s="10" t="s">
        <v>18</v>
      </c>
      <c r="E200" s="12">
        <v>42077</v>
      </c>
      <c r="F200" s="31">
        <v>799.95</v>
      </c>
      <c r="G200" s="13">
        <v>9</v>
      </c>
      <c r="H200" s="31">
        <f t="shared" si="5"/>
        <v>7199.55</v>
      </c>
      <c r="I200" s="19"/>
    </row>
    <row r="201" spans="1:9" x14ac:dyDescent="0.3">
      <c r="A201" s="17" t="s">
        <v>43</v>
      </c>
      <c r="B201" s="10" t="s">
        <v>24</v>
      </c>
      <c r="C201" s="11" t="s">
        <v>16</v>
      </c>
      <c r="D201" s="10" t="s">
        <v>19</v>
      </c>
      <c r="E201" s="12">
        <v>41991</v>
      </c>
      <c r="F201" s="31">
        <v>79.989999999999995</v>
      </c>
      <c r="G201" s="13">
        <v>4</v>
      </c>
      <c r="H201" s="31">
        <f t="shared" si="5"/>
        <v>319.95999999999998</v>
      </c>
      <c r="I201" s="19"/>
    </row>
    <row r="202" spans="1:9" x14ac:dyDescent="0.3">
      <c r="A202" s="9" t="s">
        <v>46</v>
      </c>
      <c r="B202" s="10" t="s">
        <v>24</v>
      </c>
      <c r="C202" s="11" t="s">
        <v>16</v>
      </c>
      <c r="D202" s="10" t="s">
        <v>20</v>
      </c>
      <c r="E202" s="12">
        <v>41716</v>
      </c>
      <c r="F202" s="31">
        <v>79.989999999999995</v>
      </c>
      <c r="G202" s="13">
        <v>1</v>
      </c>
      <c r="H202" s="31">
        <f t="shared" si="5"/>
        <v>79.989999999999995</v>
      </c>
      <c r="I202" s="19"/>
    </row>
    <row r="203" spans="1:9" x14ac:dyDescent="0.3">
      <c r="A203" s="17" t="s">
        <v>43</v>
      </c>
      <c r="B203" s="10" t="s">
        <v>24</v>
      </c>
      <c r="C203" s="11" t="s">
        <v>16</v>
      </c>
      <c r="D203" s="10" t="s">
        <v>22</v>
      </c>
      <c r="E203" s="12">
        <v>42034</v>
      </c>
      <c r="F203" s="31">
        <v>79.989999999999995</v>
      </c>
      <c r="G203" s="13">
        <v>2</v>
      </c>
      <c r="H203" s="31">
        <f t="shared" si="5"/>
        <v>159.97999999999999</v>
      </c>
      <c r="I203" s="19"/>
    </row>
    <row r="204" spans="1:9" x14ac:dyDescent="0.3">
      <c r="A204" s="9" t="s">
        <v>46</v>
      </c>
      <c r="B204" s="10" t="s">
        <v>27</v>
      </c>
      <c r="C204" s="11" t="s">
        <v>16</v>
      </c>
      <c r="D204" s="10" t="s">
        <v>21</v>
      </c>
      <c r="E204" s="12">
        <v>41772</v>
      </c>
      <c r="F204" s="31">
        <v>799.95</v>
      </c>
      <c r="G204" s="13">
        <v>9</v>
      </c>
      <c r="H204" s="31">
        <f t="shared" si="5"/>
        <v>7199.55</v>
      </c>
      <c r="I204" s="19"/>
    </row>
    <row r="205" spans="1:9" x14ac:dyDescent="0.3">
      <c r="A205" s="9" t="s">
        <v>36</v>
      </c>
      <c r="B205" s="10" t="s">
        <v>23</v>
      </c>
      <c r="C205" s="11" t="s">
        <v>15</v>
      </c>
      <c r="D205" s="10" t="s">
        <v>20</v>
      </c>
      <c r="E205" s="12">
        <v>42339</v>
      </c>
      <c r="F205" s="31">
        <v>340.95</v>
      </c>
      <c r="G205" s="13">
        <v>2</v>
      </c>
      <c r="H205" s="31">
        <f t="shared" si="5"/>
        <v>681.9</v>
      </c>
      <c r="I205" s="19"/>
    </row>
    <row r="206" spans="1:9" x14ac:dyDescent="0.3">
      <c r="A206" s="17" t="s">
        <v>44</v>
      </c>
      <c r="B206" s="10" t="s">
        <v>25</v>
      </c>
      <c r="C206" s="11" t="s">
        <v>14</v>
      </c>
      <c r="D206" s="10" t="s">
        <v>19</v>
      </c>
      <c r="E206" s="12">
        <v>41711</v>
      </c>
      <c r="F206" s="31">
        <v>340.95</v>
      </c>
      <c r="G206" s="13">
        <v>9</v>
      </c>
      <c r="H206" s="31">
        <f t="shared" si="5"/>
        <v>3068.5499999999997</v>
      </c>
      <c r="I206" s="19"/>
    </row>
    <row r="207" spans="1:9" x14ac:dyDescent="0.3">
      <c r="A207" s="9" t="s">
        <v>36</v>
      </c>
      <c r="B207" s="10" t="s">
        <v>23</v>
      </c>
      <c r="C207" s="11" t="s">
        <v>15</v>
      </c>
      <c r="D207" s="10" t="s">
        <v>22</v>
      </c>
      <c r="E207" s="12">
        <v>42104</v>
      </c>
      <c r="F207" s="31">
        <v>340.95</v>
      </c>
      <c r="G207" s="13">
        <v>6</v>
      </c>
      <c r="H207" s="31">
        <f t="shared" si="5"/>
        <v>2045.6999999999998</v>
      </c>
      <c r="I207" s="19"/>
    </row>
    <row r="208" spans="1:9" x14ac:dyDescent="0.3">
      <c r="A208" s="17" t="s">
        <v>41</v>
      </c>
      <c r="B208" s="10" t="s">
        <v>24</v>
      </c>
      <c r="C208" s="11" t="s">
        <v>17</v>
      </c>
      <c r="D208" s="10" t="s">
        <v>19</v>
      </c>
      <c r="E208" s="12">
        <v>41678</v>
      </c>
      <c r="F208" s="31">
        <v>79.989999999999995</v>
      </c>
      <c r="G208" s="13">
        <v>9</v>
      </c>
      <c r="H208" s="31">
        <f t="shared" si="5"/>
        <v>719.91</v>
      </c>
      <c r="I208" s="19"/>
    </row>
    <row r="209" spans="1:9" x14ac:dyDescent="0.3">
      <c r="A209" s="17" t="s">
        <v>41</v>
      </c>
      <c r="B209" s="10" t="s">
        <v>27</v>
      </c>
      <c r="C209" s="11" t="s">
        <v>17</v>
      </c>
      <c r="D209" s="10" t="s">
        <v>18</v>
      </c>
      <c r="E209" s="12">
        <v>41896</v>
      </c>
      <c r="F209" s="31">
        <v>799.95</v>
      </c>
      <c r="G209" s="13">
        <v>13</v>
      </c>
      <c r="H209" s="31">
        <f t="shared" si="5"/>
        <v>10399.35</v>
      </c>
      <c r="I209" s="19"/>
    </row>
    <row r="210" spans="1:9" x14ac:dyDescent="0.3">
      <c r="A210" s="9" t="s">
        <v>46</v>
      </c>
      <c r="B210" s="10" t="s">
        <v>26</v>
      </c>
      <c r="C210" s="11" t="s">
        <v>16</v>
      </c>
      <c r="D210" s="10" t="s">
        <v>20</v>
      </c>
      <c r="E210" s="12">
        <v>41984</v>
      </c>
      <c r="F210" s="31">
        <v>168.95</v>
      </c>
      <c r="G210" s="13">
        <v>5</v>
      </c>
      <c r="H210" s="31">
        <f t="shared" si="5"/>
        <v>844.75</v>
      </c>
      <c r="I210" s="19"/>
    </row>
    <row r="211" spans="1:9" x14ac:dyDescent="0.3">
      <c r="A211" s="17" t="s">
        <v>43</v>
      </c>
      <c r="B211" s="10" t="s">
        <v>24</v>
      </c>
      <c r="C211" s="11" t="s">
        <v>16</v>
      </c>
      <c r="D211" s="10" t="s">
        <v>20</v>
      </c>
      <c r="E211" s="12">
        <v>41971</v>
      </c>
      <c r="F211" s="31">
        <v>79.989999999999995</v>
      </c>
      <c r="G211" s="13">
        <v>5</v>
      </c>
      <c r="H211" s="31">
        <f t="shared" si="5"/>
        <v>399.95</v>
      </c>
      <c r="I211" s="19"/>
    </row>
    <row r="212" spans="1:9" x14ac:dyDescent="0.3">
      <c r="A212" s="9" t="s">
        <v>36</v>
      </c>
      <c r="B212" s="10" t="s">
        <v>25</v>
      </c>
      <c r="C212" s="11" t="s">
        <v>15</v>
      </c>
      <c r="D212" s="10" t="s">
        <v>20</v>
      </c>
      <c r="E212" s="12">
        <v>42025</v>
      </c>
      <c r="F212" s="31">
        <v>340.95</v>
      </c>
      <c r="G212" s="13">
        <v>8</v>
      </c>
      <c r="H212" s="31">
        <f t="shared" si="5"/>
        <v>2727.6</v>
      </c>
      <c r="I212" s="19"/>
    </row>
    <row r="213" spans="1:9" x14ac:dyDescent="0.3">
      <c r="A213" s="17" t="s">
        <v>41</v>
      </c>
      <c r="B213" s="10" t="s">
        <v>27</v>
      </c>
      <c r="C213" s="11" t="s">
        <v>17</v>
      </c>
      <c r="D213" s="10" t="s">
        <v>20</v>
      </c>
      <c r="E213" s="12">
        <v>42327</v>
      </c>
      <c r="F213" s="31">
        <v>799.95</v>
      </c>
      <c r="G213" s="13">
        <v>3</v>
      </c>
      <c r="H213" s="31">
        <f t="shared" si="5"/>
        <v>2399.8500000000004</v>
      </c>
      <c r="I213" s="19"/>
    </row>
    <row r="214" spans="1:9" x14ac:dyDescent="0.3">
      <c r="A214" s="9" t="s">
        <v>38</v>
      </c>
      <c r="B214" s="10" t="s">
        <v>24</v>
      </c>
      <c r="C214" s="11" t="s">
        <v>15</v>
      </c>
      <c r="D214" s="10" t="s">
        <v>19</v>
      </c>
      <c r="E214" s="12">
        <v>41881</v>
      </c>
      <c r="F214" s="31">
        <v>79.989999999999995</v>
      </c>
      <c r="G214" s="13">
        <v>12</v>
      </c>
      <c r="H214" s="31">
        <f t="shared" si="5"/>
        <v>959.87999999999988</v>
      </c>
      <c r="I214" s="19"/>
    </row>
    <row r="215" spans="1:9" x14ac:dyDescent="0.3">
      <c r="A215" s="9" t="s">
        <v>46</v>
      </c>
      <c r="B215" s="10" t="s">
        <v>23</v>
      </c>
      <c r="C215" s="11" t="s">
        <v>16</v>
      </c>
      <c r="D215" s="10" t="s">
        <v>18</v>
      </c>
      <c r="E215" s="12">
        <v>42147</v>
      </c>
      <c r="F215" s="31">
        <v>340.95</v>
      </c>
      <c r="G215" s="13">
        <v>7</v>
      </c>
      <c r="H215" s="31">
        <f t="shared" si="5"/>
        <v>2386.65</v>
      </c>
      <c r="I215" s="19"/>
    </row>
    <row r="216" spans="1:9" x14ac:dyDescent="0.3">
      <c r="A216" s="17" t="s">
        <v>39</v>
      </c>
      <c r="B216" s="10" t="s">
        <v>23</v>
      </c>
      <c r="C216" s="11" t="s">
        <v>14</v>
      </c>
      <c r="D216" s="10" t="s">
        <v>19</v>
      </c>
      <c r="E216" s="12">
        <v>42349</v>
      </c>
      <c r="F216" s="31">
        <v>340.95</v>
      </c>
      <c r="G216" s="13">
        <v>11</v>
      </c>
      <c r="H216" s="31">
        <f t="shared" si="5"/>
        <v>3750.45</v>
      </c>
      <c r="I216" s="19"/>
    </row>
    <row r="217" spans="1:9" x14ac:dyDescent="0.3">
      <c r="A217" s="9" t="s">
        <v>36</v>
      </c>
      <c r="B217" s="10" t="s">
        <v>25</v>
      </c>
      <c r="C217" s="11" t="s">
        <v>15</v>
      </c>
      <c r="D217" s="10" t="s">
        <v>21</v>
      </c>
      <c r="E217" s="12">
        <v>42342</v>
      </c>
      <c r="F217" s="31">
        <v>340.95</v>
      </c>
      <c r="G217" s="13">
        <v>9</v>
      </c>
      <c r="H217" s="31">
        <f t="shared" si="5"/>
        <v>3068.5499999999997</v>
      </c>
      <c r="I217" s="19"/>
    </row>
    <row r="218" spans="1:9" x14ac:dyDescent="0.3">
      <c r="A218" s="9" t="s">
        <v>36</v>
      </c>
      <c r="B218" s="10" t="s">
        <v>26</v>
      </c>
      <c r="C218" s="11" t="s">
        <v>15</v>
      </c>
      <c r="D218" s="10" t="s">
        <v>19</v>
      </c>
      <c r="E218" s="12">
        <v>41993</v>
      </c>
      <c r="F218" s="31">
        <v>168.95</v>
      </c>
      <c r="G218" s="13">
        <v>11</v>
      </c>
      <c r="H218" s="31">
        <f t="shared" si="5"/>
        <v>1858.4499999999998</v>
      </c>
      <c r="I218" s="19"/>
    </row>
    <row r="219" spans="1:9" x14ac:dyDescent="0.3">
      <c r="A219" s="9" t="s">
        <v>40</v>
      </c>
      <c r="B219" s="10" t="s">
        <v>26</v>
      </c>
      <c r="C219" s="11" t="s">
        <v>17</v>
      </c>
      <c r="D219" s="10" t="s">
        <v>19</v>
      </c>
      <c r="E219" s="12">
        <v>42253</v>
      </c>
      <c r="F219" s="31">
        <v>168.95</v>
      </c>
      <c r="G219" s="13">
        <v>3</v>
      </c>
      <c r="H219" s="31">
        <f t="shared" si="5"/>
        <v>506.84999999999997</v>
      </c>
      <c r="I219" s="19"/>
    </row>
    <row r="220" spans="1:9" x14ac:dyDescent="0.3">
      <c r="A220" s="17" t="s">
        <v>39</v>
      </c>
      <c r="B220" s="10" t="s">
        <v>25</v>
      </c>
      <c r="C220" s="11" t="s">
        <v>14</v>
      </c>
      <c r="D220" s="10" t="s">
        <v>19</v>
      </c>
      <c r="E220" s="12">
        <v>42060</v>
      </c>
      <c r="F220" s="31">
        <v>340.95</v>
      </c>
      <c r="G220" s="13">
        <v>6</v>
      </c>
      <c r="H220" s="31">
        <f t="shared" si="5"/>
        <v>2045.6999999999998</v>
      </c>
      <c r="I220" s="19"/>
    </row>
    <row r="221" spans="1:9" x14ac:dyDescent="0.3">
      <c r="A221" s="9" t="s">
        <v>46</v>
      </c>
      <c r="B221" s="10" t="s">
        <v>27</v>
      </c>
      <c r="C221" s="11" t="s">
        <v>16</v>
      </c>
      <c r="D221" s="10" t="s">
        <v>19</v>
      </c>
      <c r="E221" s="12">
        <v>42320</v>
      </c>
      <c r="F221" s="31">
        <v>799.95</v>
      </c>
      <c r="G221" s="13">
        <v>1</v>
      </c>
      <c r="H221" s="31">
        <f t="shared" si="5"/>
        <v>799.95</v>
      </c>
      <c r="I221" s="19"/>
    </row>
    <row r="222" spans="1:9" x14ac:dyDescent="0.3">
      <c r="A222" s="9" t="s">
        <v>36</v>
      </c>
      <c r="B222" s="10" t="s">
        <v>25</v>
      </c>
      <c r="C222" s="11" t="s">
        <v>15</v>
      </c>
      <c r="D222" s="10" t="s">
        <v>20</v>
      </c>
      <c r="E222" s="12">
        <v>42229</v>
      </c>
      <c r="F222" s="31">
        <v>340.95</v>
      </c>
      <c r="G222" s="13">
        <v>7</v>
      </c>
      <c r="H222" s="31">
        <f t="shared" si="5"/>
        <v>2386.65</v>
      </c>
      <c r="I222" s="19"/>
    </row>
    <row r="223" spans="1:9" x14ac:dyDescent="0.3">
      <c r="A223" s="17" t="s">
        <v>43</v>
      </c>
      <c r="B223" s="10" t="s">
        <v>26</v>
      </c>
      <c r="C223" s="11" t="s">
        <v>16</v>
      </c>
      <c r="D223" s="10" t="s">
        <v>22</v>
      </c>
      <c r="E223" s="12">
        <v>42098</v>
      </c>
      <c r="F223" s="31">
        <v>168.95</v>
      </c>
      <c r="G223" s="13">
        <v>15</v>
      </c>
      <c r="H223" s="31">
        <f t="shared" si="5"/>
        <v>2534.25</v>
      </c>
      <c r="I223" s="19"/>
    </row>
    <row r="224" spans="1:9" x14ac:dyDescent="0.3">
      <c r="A224" s="9" t="s">
        <v>42</v>
      </c>
      <c r="B224" s="10" t="s">
        <v>24</v>
      </c>
      <c r="C224" s="11" t="s">
        <v>15</v>
      </c>
      <c r="D224" s="10" t="s">
        <v>18</v>
      </c>
      <c r="E224" s="12">
        <v>41777</v>
      </c>
      <c r="F224" s="31">
        <v>79.989999999999995</v>
      </c>
      <c r="G224" s="13">
        <v>7</v>
      </c>
      <c r="H224" s="31">
        <f t="shared" si="5"/>
        <v>559.92999999999995</v>
      </c>
      <c r="I224" s="19"/>
    </row>
    <row r="225" spans="1:9" x14ac:dyDescent="0.3">
      <c r="A225" s="9" t="s">
        <v>0</v>
      </c>
      <c r="B225" s="10" t="s">
        <v>24</v>
      </c>
      <c r="C225" s="11" t="s">
        <v>14</v>
      </c>
      <c r="D225" s="10" t="s">
        <v>21</v>
      </c>
      <c r="E225" s="12">
        <v>41979</v>
      </c>
      <c r="F225" s="31">
        <v>79.989999999999995</v>
      </c>
      <c r="G225" s="13">
        <v>3</v>
      </c>
      <c r="H225" s="31">
        <f t="shared" si="5"/>
        <v>239.96999999999997</v>
      </c>
      <c r="I225" s="19"/>
    </row>
    <row r="226" spans="1:9" x14ac:dyDescent="0.3">
      <c r="A226" s="9" t="s">
        <v>36</v>
      </c>
      <c r="B226" s="10" t="s">
        <v>23</v>
      </c>
      <c r="C226" s="11" t="s">
        <v>15</v>
      </c>
      <c r="D226" s="10" t="s">
        <v>22</v>
      </c>
      <c r="E226" s="12">
        <v>41744</v>
      </c>
      <c r="F226" s="31">
        <v>340.95</v>
      </c>
      <c r="G226" s="13">
        <v>4</v>
      </c>
      <c r="H226" s="31">
        <f t="shared" si="5"/>
        <v>1363.8</v>
      </c>
      <c r="I226" s="19"/>
    </row>
    <row r="227" spans="1:9" x14ac:dyDescent="0.3">
      <c r="A227" s="17" t="s">
        <v>45</v>
      </c>
      <c r="B227" s="10" t="s">
        <v>23</v>
      </c>
      <c r="C227" s="11" t="s">
        <v>15</v>
      </c>
      <c r="D227" s="10" t="s">
        <v>19</v>
      </c>
      <c r="E227" s="12">
        <v>42077</v>
      </c>
      <c r="F227" s="31">
        <v>340.95</v>
      </c>
      <c r="G227" s="13">
        <v>11</v>
      </c>
      <c r="H227" s="31">
        <f t="shared" si="5"/>
        <v>3750.45</v>
      </c>
      <c r="I227" s="19"/>
    </row>
    <row r="228" spans="1:9" x14ac:dyDescent="0.3">
      <c r="A228" s="17" t="s">
        <v>41</v>
      </c>
      <c r="B228" s="10" t="s">
        <v>27</v>
      </c>
      <c r="C228" s="11" t="s">
        <v>17</v>
      </c>
      <c r="D228" s="10" t="s">
        <v>18</v>
      </c>
      <c r="E228" s="12">
        <v>42092</v>
      </c>
      <c r="F228" s="31">
        <v>799.95</v>
      </c>
      <c r="G228" s="13">
        <v>7</v>
      </c>
      <c r="H228" s="31">
        <f t="shared" si="5"/>
        <v>5599.6500000000005</v>
      </c>
      <c r="I228" s="19"/>
    </row>
    <row r="229" spans="1:9" x14ac:dyDescent="0.3">
      <c r="A229" s="9" t="s">
        <v>40</v>
      </c>
      <c r="B229" s="10" t="s">
        <v>24</v>
      </c>
      <c r="C229" s="11" t="s">
        <v>17</v>
      </c>
      <c r="D229" s="10" t="s">
        <v>21</v>
      </c>
      <c r="E229" s="12">
        <v>41655</v>
      </c>
      <c r="F229" s="31">
        <v>79.989999999999995</v>
      </c>
      <c r="G229" s="13">
        <v>11</v>
      </c>
      <c r="H229" s="31">
        <f t="shared" si="5"/>
        <v>879.89</v>
      </c>
      <c r="I229" s="19"/>
    </row>
    <row r="230" spans="1:9" x14ac:dyDescent="0.3">
      <c r="A230" s="9" t="s">
        <v>46</v>
      </c>
      <c r="B230" s="10" t="s">
        <v>23</v>
      </c>
      <c r="C230" s="11" t="s">
        <v>16</v>
      </c>
      <c r="D230" s="10" t="s">
        <v>22</v>
      </c>
      <c r="E230" s="12">
        <v>42313</v>
      </c>
      <c r="F230" s="31">
        <v>340.95</v>
      </c>
      <c r="G230" s="13">
        <v>8</v>
      </c>
      <c r="H230" s="31">
        <f t="shared" si="5"/>
        <v>2727.6</v>
      </c>
      <c r="I230" s="19"/>
    </row>
    <row r="231" spans="1:9" x14ac:dyDescent="0.3">
      <c r="A231" s="9" t="s">
        <v>0</v>
      </c>
      <c r="B231" s="10" t="s">
        <v>26</v>
      </c>
      <c r="C231" s="11" t="s">
        <v>14</v>
      </c>
      <c r="D231" s="10" t="s">
        <v>21</v>
      </c>
      <c r="E231" s="12">
        <v>42208</v>
      </c>
      <c r="F231" s="31">
        <v>168.95</v>
      </c>
      <c r="G231" s="13">
        <v>2</v>
      </c>
      <c r="H231" s="31">
        <f t="shared" si="5"/>
        <v>337.9</v>
      </c>
      <c r="I231" s="19"/>
    </row>
    <row r="232" spans="1:9" x14ac:dyDescent="0.3">
      <c r="A232" s="9" t="s">
        <v>40</v>
      </c>
      <c r="B232" s="10" t="s">
        <v>25</v>
      </c>
      <c r="C232" s="11" t="s">
        <v>17</v>
      </c>
      <c r="D232" s="10" t="s">
        <v>19</v>
      </c>
      <c r="E232" s="12">
        <v>42134</v>
      </c>
      <c r="F232" s="31">
        <v>340.95</v>
      </c>
      <c r="G232" s="13">
        <v>2</v>
      </c>
      <c r="H232" s="31">
        <f t="shared" si="5"/>
        <v>681.9</v>
      </c>
      <c r="I232" s="19"/>
    </row>
    <row r="233" spans="1:9" x14ac:dyDescent="0.3">
      <c r="A233" s="17" t="s">
        <v>44</v>
      </c>
      <c r="B233" s="10" t="s">
        <v>23</v>
      </c>
      <c r="C233" s="11" t="s">
        <v>14</v>
      </c>
      <c r="D233" s="10" t="s">
        <v>20</v>
      </c>
      <c r="E233" s="12">
        <v>42018</v>
      </c>
      <c r="F233" s="31">
        <v>340.95</v>
      </c>
      <c r="G233" s="13">
        <v>1</v>
      </c>
      <c r="H233" s="31">
        <f t="shared" si="5"/>
        <v>340.95</v>
      </c>
      <c r="I233" s="19"/>
    </row>
    <row r="234" spans="1:9" x14ac:dyDescent="0.3">
      <c r="A234" s="17" t="s">
        <v>37</v>
      </c>
      <c r="B234" s="10" t="s">
        <v>23</v>
      </c>
      <c r="C234" s="11" t="s">
        <v>14</v>
      </c>
      <c r="D234" s="10" t="s">
        <v>22</v>
      </c>
      <c r="E234" s="12">
        <v>42332</v>
      </c>
      <c r="F234" s="31">
        <v>340.95</v>
      </c>
      <c r="G234" s="13">
        <v>8</v>
      </c>
      <c r="H234" s="31">
        <f t="shared" si="5"/>
        <v>2727.6</v>
      </c>
      <c r="I234" s="19"/>
    </row>
    <row r="235" spans="1:9" x14ac:dyDescent="0.3">
      <c r="A235" s="17" t="s">
        <v>41</v>
      </c>
      <c r="B235" s="10" t="s">
        <v>24</v>
      </c>
      <c r="C235" s="11" t="s">
        <v>17</v>
      </c>
      <c r="D235" s="10" t="s">
        <v>22</v>
      </c>
      <c r="E235" s="12">
        <v>42120</v>
      </c>
      <c r="F235" s="31">
        <v>79.989999999999995</v>
      </c>
      <c r="G235" s="13">
        <v>9</v>
      </c>
      <c r="H235" s="31">
        <f t="shared" si="5"/>
        <v>719.91</v>
      </c>
      <c r="I235" s="19"/>
    </row>
    <row r="236" spans="1:9" x14ac:dyDescent="0.3">
      <c r="A236" s="17" t="s">
        <v>44</v>
      </c>
      <c r="B236" s="10" t="s">
        <v>27</v>
      </c>
      <c r="C236" s="11" t="s">
        <v>14</v>
      </c>
      <c r="D236" s="10" t="s">
        <v>20</v>
      </c>
      <c r="E236" s="12">
        <v>42067</v>
      </c>
      <c r="F236" s="31">
        <v>799.95</v>
      </c>
      <c r="G236" s="13">
        <v>13</v>
      </c>
      <c r="H236" s="31">
        <f t="shared" si="5"/>
        <v>10399.35</v>
      </c>
      <c r="I236" s="19"/>
    </row>
    <row r="237" spans="1:9" x14ac:dyDescent="0.3">
      <c r="A237" s="17" t="s">
        <v>45</v>
      </c>
      <c r="B237" s="10" t="s">
        <v>27</v>
      </c>
      <c r="C237" s="11" t="s">
        <v>15</v>
      </c>
      <c r="D237" s="10" t="s">
        <v>18</v>
      </c>
      <c r="E237" s="12">
        <v>41655</v>
      </c>
      <c r="F237" s="31">
        <v>799.95</v>
      </c>
      <c r="G237" s="13">
        <v>6</v>
      </c>
      <c r="H237" s="31">
        <f t="shared" si="5"/>
        <v>4799.7000000000007</v>
      </c>
      <c r="I237" s="19"/>
    </row>
    <row r="238" spans="1:9" x14ac:dyDescent="0.3">
      <c r="A238" s="9" t="s">
        <v>0</v>
      </c>
      <c r="B238" s="10" t="s">
        <v>25</v>
      </c>
      <c r="C238" s="11" t="s">
        <v>14</v>
      </c>
      <c r="D238" s="10" t="s">
        <v>20</v>
      </c>
      <c r="E238" s="12">
        <v>42005</v>
      </c>
      <c r="F238" s="31">
        <v>340.95</v>
      </c>
      <c r="G238" s="13">
        <v>8</v>
      </c>
      <c r="H238" s="31">
        <f t="shared" si="5"/>
        <v>2727.6</v>
      </c>
      <c r="I238" s="19"/>
    </row>
    <row r="239" spans="1:9" x14ac:dyDescent="0.3">
      <c r="A239" s="9" t="s">
        <v>46</v>
      </c>
      <c r="B239" s="10" t="s">
        <v>27</v>
      </c>
      <c r="C239" s="11" t="s">
        <v>16</v>
      </c>
      <c r="D239" s="10" t="s">
        <v>18</v>
      </c>
      <c r="E239" s="12">
        <v>41994</v>
      </c>
      <c r="F239" s="31">
        <v>799.95</v>
      </c>
      <c r="G239" s="13">
        <v>11</v>
      </c>
      <c r="H239" s="31">
        <f t="shared" si="5"/>
        <v>8799.4500000000007</v>
      </c>
      <c r="I239" s="19"/>
    </row>
    <row r="240" spans="1:9" x14ac:dyDescent="0.3">
      <c r="A240" s="17" t="s">
        <v>39</v>
      </c>
      <c r="B240" s="10" t="s">
        <v>24</v>
      </c>
      <c r="C240" s="11" t="s">
        <v>14</v>
      </c>
      <c r="D240" s="10" t="s">
        <v>21</v>
      </c>
      <c r="E240" s="12">
        <v>42228</v>
      </c>
      <c r="F240" s="31">
        <v>79.989999999999995</v>
      </c>
      <c r="G240" s="13">
        <v>13</v>
      </c>
      <c r="H240" s="31">
        <f t="shared" si="5"/>
        <v>1039.8699999999999</v>
      </c>
      <c r="I240" s="19"/>
    </row>
    <row r="241" spans="1:9" x14ac:dyDescent="0.3">
      <c r="A241" s="9" t="s">
        <v>38</v>
      </c>
      <c r="B241" s="10" t="s">
        <v>23</v>
      </c>
      <c r="C241" s="11" t="s">
        <v>15</v>
      </c>
      <c r="D241" s="10" t="s">
        <v>18</v>
      </c>
      <c r="E241" s="12">
        <v>42361</v>
      </c>
      <c r="F241" s="31">
        <v>340.95</v>
      </c>
      <c r="G241" s="13">
        <v>20</v>
      </c>
      <c r="H241" s="31">
        <f t="shared" si="5"/>
        <v>6819</v>
      </c>
      <c r="I241" s="19"/>
    </row>
    <row r="242" spans="1:9" x14ac:dyDescent="0.3">
      <c r="A242" s="9" t="s">
        <v>42</v>
      </c>
      <c r="B242" s="10" t="s">
        <v>23</v>
      </c>
      <c r="C242" s="11" t="s">
        <v>15</v>
      </c>
      <c r="D242" s="10" t="s">
        <v>18</v>
      </c>
      <c r="E242" s="12">
        <v>41852</v>
      </c>
      <c r="F242" s="31">
        <v>340.95</v>
      </c>
      <c r="G242" s="13">
        <v>11</v>
      </c>
      <c r="H242" s="31">
        <f t="shared" si="5"/>
        <v>3750.45</v>
      </c>
      <c r="I242" s="19"/>
    </row>
    <row r="243" spans="1:9" x14ac:dyDescent="0.3">
      <c r="A243" s="17" t="s">
        <v>39</v>
      </c>
      <c r="B243" s="10" t="s">
        <v>25</v>
      </c>
      <c r="C243" s="11" t="s">
        <v>14</v>
      </c>
      <c r="D243" s="10" t="s">
        <v>21</v>
      </c>
      <c r="E243" s="12">
        <v>42077</v>
      </c>
      <c r="F243" s="31">
        <v>340.95</v>
      </c>
      <c r="G243" s="13">
        <v>13</v>
      </c>
      <c r="H243" s="31">
        <f t="shared" si="5"/>
        <v>4432.3499999999995</v>
      </c>
      <c r="I243" s="19"/>
    </row>
    <row r="244" spans="1:9" x14ac:dyDescent="0.3">
      <c r="A244" s="17" t="s">
        <v>43</v>
      </c>
      <c r="B244" s="10" t="s">
        <v>27</v>
      </c>
      <c r="C244" s="11" t="s">
        <v>16</v>
      </c>
      <c r="D244" s="10" t="s">
        <v>22</v>
      </c>
      <c r="E244" s="12">
        <v>42026</v>
      </c>
      <c r="F244" s="31">
        <v>799.95</v>
      </c>
      <c r="G244" s="13">
        <v>10</v>
      </c>
      <c r="H244" s="31">
        <f t="shared" si="5"/>
        <v>7999.5</v>
      </c>
      <c r="I244" s="19"/>
    </row>
    <row r="245" spans="1:9" x14ac:dyDescent="0.3">
      <c r="A245" s="17" t="s">
        <v>37</v>
      </c>
      <c r="B245" s="10" t="s">
        <v>27</v>
      </c>
      <c r="C245" s="11" t="s">
        <v>14</v>
      </c>
      <c r="D245" s="10" t="s">
        <v>18</v>
      </c>
      <c r="E245" s="12">
        <v>42148</v>
      </c>
      <c r="F245" s="31">
        <v>799.95</v>
      </c>
      <c r="G245" s="13">
        <v>7</v>
      </c>
      <c r="H245" s="31">
        <f t="shared" si="5"/>
        <v>5599.6500000000005</v>
      </c>
      <c r="I245" s="19"/>
    </row>
    <row r="246" spans="1:9" x14ac:dyDescent="0.3">
      <c r="A246" s="9" t="s">
        <v>46</v>
      </c>
      <c r="B246" s="10" t="s">
        <v>25</v>
      </c>
      <c r="C246" s="11" t="s">
        <v>16</v>
      </c>
      <c r="D246" s="10" t="s">
        <v>19</v>
      </c>
      <c r="E246" s="12">
        <v>42238</v>
      </c>
      <c r="F246" s="31">
        <v>340.95</v>
      </c>
      <c r="G246" s="13">
        <v>1</v>
      </c>
      <c r="H246" s="31">
        <f t="shared" si="5"/>
        <v>340.95</v>
      </c>
      <c r="I246" s="19"/>
    </row>
    <row r="247" spans="1:9" x14ac:dyDescent="0.3">
      <c r="A247" s="17" t="s">
        <v>41</v>
      </c>
      <c r="B247" s="10" t="s">
        <v>23</v>
      </c>
      <c r="C247" s="11" t="s">
        <v>17</v>
      </c>
      <c r="D247" s="10" t="s">
        <v>22</v>
      </c>
      <c r="E247" s="12">
        <v>41877</v>
      </c>
      <c r="F247" s="31">
        <v>340.95</v>
      </c>
      <c r="G247" s="13">
        <v>5</v>
      </c>
      <c r="H247" s="31">
        <f t="shared" si="5"/>
        <v>1704.75</v>
      </c>
      <c r="I247" s="19"/>
    </row>
    <row r="248" spans="1:9" x14ac:dyDescent="0.3">
      <c r="A248" s="9" t="s">
        <v>40</v>
      </c>
      <c r="B248" s="10" t="s">
        <v>25</v>
      </c>
      <c r="C248" s="11" t="s">
        <v>17</v>
      </c>
      <c r="D248" s="10" t="s">
        <v>20</v>
      </c>
      <c r="E248" s="12">
        <v>42333</v>
      </c>
      <c r="F248" s="31">
        <v>340.95</v>
      </c>
      <c r="G248" s="13">
        <v>10</v>
      </c>
      <c r="H248" s="31">
        <f t="shared" si="5"/>
        <v>3409.5</v>
      </c>
      <c r="I248" s="19"/>
    </row>
    <row r="249" spans="1:9" x14ac:dyDescent="0.3">
      <c r="A249" s="9" t="s">
        <v>0</v>
      </c>
      <c r="B249" s="10" t="s">
        <v>24</v>
      </c>
      <c r="C249" s="11" t="s">
        <v>14</v>
      </c>
      <c r="D249" s="10" t="s">
        <v>22</v>
      </c>
      <c r="E249" s="12">
        <v>41733</v>
      </c>
      <c r="F249" s="31">
        <v>79.989999999999995</v>
      </c>
      <c r="G249" s="13">
        <v>6</v>
      </c>
      <c r="H249" s="31">
        <f t="shared" si="5"/>
        <v>479.93999999999994</v>
      </c>
      <c r="I249" s="19"/>
    </row>
    <row r="250" spans="1:9" x14ac:dyDescent="0.3">
      <c r="A250" s="17" t="s">
        <v>45</v>
      </c>
      <c r="B250" s="10" t="s">
        <v>27</v>
      </c>
      <c r="C250" s="11" t="s">
        <v>15</v>
      </c>
      <c r="D250" s="10" t="s">
        <v>22</v>
      </c>
      <c r="E250" s="12">
        <v>42165</v>
      </c>
      <c r="F250" s="31">
        <v>799.95</v>
      </c>
      <c r="G250" s="13">
        <v>3</v>
      </c>
      <c r="H250" s="31">
        <f t="shared" si="5"/>
        <v>2399.8500000000004</v>
      </c>
      <c r="I250" s="19"/>
    </row>
    <row r="251" spans="1:9" x14ac:dyDescent="0.3">
      <c r="A251" s="9" t="s">
        <v>46</v>
      </c>
      <c r="B251" s="10" t="s">
        <v>25</v>
      </c>
      <c r="C251" s="11" t="s">
        <v>16</v>
      </c>
      <c r="D251" s="10" t="s">
        <v>19</v>
      </c>
      <c r="E251" s="12">
        <v>41711</v>
      </c>
      <c r="F251" s="31">
        <v>340.95</v>
      </c>
      <c r="G251" s="13">
        <v>2</v>
      </c>
      <c r="H251" s="31">
        <f t="shared" si="5"/>
        <v>681.9</v>
      </c>
      <c r="I251" s="19"/>
    </row>
    <row r="252" spans="1:9" x14ac:dyDescent="0.3">
      <c r="A252" s="9" t="s">
        <v>36</v>
      </c>
      <c r="B252" s="10" t="s">
        <v>27</v>
      </c>
      <c r="C252" s="11" t="s">
        <v>15</v>
      </c>
      <c r="D252" s="10" t="s">
        <v>22</v>
      </c>
      <c r="E252" s="12">
        <v>41669</v>
      </c>
      <c r="F252" s="31">
        <v>799.95</v>
      </c>
      <c r="G252" s="13">
        <v>7</v>
      </c>
      <c r="H252" s="31">
        <f t="shared" si="5"/>
        <v>5599.6500000000005</v>
      </c>
      <c r="I252" s="19"/>
    </row>
    <row r="253" spans="1:9" x14ac:dyDescent="0.3">
      <c r="A253" s="9" t="s">
        <v>0</v>
      </c>
      <c r="B253" s="10" t="s">
        <v>27</v>
      </c>
      <c r="C253" s="11" t="s">
        <v>14</v>
      </c>
      <c r="D253" s="10" t="s">
        <v>20</v>
      </c>
      <c r="E253" s="12">
        <v>41811</v>
      </c>
      <c r="F253" s="31">
        <v>799.95</v>
      </c>
      <c r="G253" s="13">
        <v>6</v>
      </c>
      <c r="H253" s="31">
        <f t="shared" si="5"/>
        <v>4799.7000000000007</v>
      </c>
      <c r="I253" s="19"/>
    </row>
    <row r="254" spans="1:9" x14ac:dyDescent="0.3">
      <c r="A254" s="17" t="s">
        <v>37</v>
      </c>
      <c r="B254" s="10" t="s">
        <v>26</v>
      </c>
      <c r="C254" s="11" t="s">
        <v>14</v>
      </c>
      <c r="D254" s="10" t="s">
        <v>20</v>
      </c>
      <c r="E254" s="12">
        <v>42139</v>
      </c>
      <c r="F254" s="31">
        <v>168.95</v>
      </c>
      <c r="G254" s="13">
        <v>2</v>
      </c>
      <c r="H254" s="31">
        <f t="shared" si="5"/>
        <v>337.9</v>
      </c>
      <c r="I254" s="19"/>
    </row>
    <row r="255" spans="1:9" x14ac:dyDescent="0.3">
      <c r="A255" s="17" t="s">
        <v>41</v>
      </c>
      <c r="B255" s="10" t="s">
        <v>23</v>
      </c>
      <c r="C255" s="11" t="s">
        <v>17</v>
      </c>
      <c r="D255" s="10" t="s">
        <v>19</v>
      </c>
      <c r="E255" s="12">
        <v>41857</v>
      </c>
      <c r="F255" s="31">
        <v>340.95</v>
      </c>
      <c r="G255" s="13">
        <v>4</v>
      </c>
      <c r="H255" s="31">
        <f t="shared" si="5"/>
        <v>1363.8</v>
      </c>
      <c r="I255" s="19"/>
    </row>
    <row r="256" spans="1:9" x14ac:dyDescent="0.3">
      <c r="A256" s="9" t="s">
        <v>0</v>
      </c>
      <c r="B256" s="10" t="s">
        <v>23</v>
      </c>
      <c r="C256" s="11" t="s">
        <v>14</v>
      </c>
      <c r="D256" s="10" t="s">
        <v>19</v>
      </c>
      <c r="E256" s="12">
        <v>41870</v>
      </c>
      <c r="F256" s="31">
        <v>340.95</v>
      </c>
      <c r="G256" s="13">
        <v>10</v>
      </c>
      <c r="H256" s="31">
        <f t="shared" si="5"/>
        <v>3409.5</v>
      </c>
      <c r="I256" s="19"/>
    </row>
    <row r="257" spans="1:9" x14ac:dyDescent="0.3">
      <c r="A257" s="9" t="s">
        <v>46</v>
      </c>
      <c r="B257" s="10" t="s">
        <v>23</v>
      </c>
      <c r="C257" s="11" t="s">
        <v>16</v>
      </c>
      <c r="D257" s="10" t="s">
        <v>21</v>
      </c>
      <c r="E257" s="12">
        <v>42057</v>
      </c>
      <c r="F257" s="31">
        <v>340.95</v>
      </c>
      <c r="G257" s="13">
        <v>6</v>
      </c>
      <c r="H257" s="31">
        <f t="shared" si="5"/>
        <v>2045.6999999999998</v>
      </c>
      <c r="I257" s="19"/>
    </row>
    <row r="258" spans="1:9" x14ac:dyDescent="0.3">
      <c r="A258" s="9" t="s">
        <v>36</v>
      </c>
      <c r="B258" s="10" t="s">
        <v>24</v>
      </c>
      <c r="C258" s="11" t="s">
        <v>15</v>
      </c>
      <c r="D258" s="10" t="s">
        <v>18</v>
      </c>
      <c r="E258" s="12">
        <v>42003</v>
      </c>
      <c r="F258" s="31">
        <v>79.989999999999995</v>
      </c>
      <c r="G258" s="13">
        <v>20</v>
      </c>
      <c r="H258" s="31">
        <f t="shared" ref="H258:H321" si="6">F258*G258</f>
        <v>1599.8</v>
      </c>
      <c r="I258" s="19"/>
    </row>
    <row r="259" spans="1:9" x14ac:dyDescent="0.3">
      <c r="A259" s="17" t="s">
        <v>39</v>
      </c>
      <c r="B259" s="10" t="s">
        <v>23</v>
      </c>
      <c r="C259" s="11" t="s">
        <v>14</v>
      </c>
      <c r="D259" s="10" t="s">
        <v>21</v>
      </c>
      <c r="E259" s="12">
        <v>42344</v>
      </c>
      <c r="F259" s="31">
        <v>340.95</v>
      </c>
      <c r="G259" s="13">
        <v>12</v>
      </c>
      <c r="H259" s="31">
        <f t="shared" si="6"/>
        <v>4091.3999999999996</v>
      </c>
      <c r="I259" s="19"/>
    </row>
    <row r="260" spans="1:9" x14ac:dyDescent="0.3">
      <c r="A260" s="17" t="s">
        <v>44</v>
      </c>
      <c r="B260" s="10" t="s">
        <v>26</v>
      </c>
      <c r="C260" s="11" t="s">
        <v>14</v>
      </c>
      <c r="D260" s="10" t="s">
        <v>21</v>
      </c>
      <c r="E260" s="12">
        <v>42362</v>
      </c>
      <c r="F260" s="31">
        <v>168.95</v>
      </c>
      <c r="G260" s="13">
        <v>3</v>
      </c>
      <c r="H260" s="31">
        <f t="shared" si="6"/>
        <v>506.84999999999997</v>
      </c>
      <c r="I260" s="19"/>
    </row>
    <row r="261" spans="1:9" x14ac:dyDescent="0.3">
      <c r="A261" s="9" t="s">
        <v>46</v>
      </c>
      <c r="B261" s="10" t="s">
        <v>25</v>
      </c>
      <c r="C261" s="11" t="s">
        <v>16</v>
      </c>
      <c r="D261" s="10" t="s">
        <v>21</v>
      </c>
      <c r="E261" s="12">
        <v>41667</v>
      </c>
      <c r="F261" s="31">
        <v>340.95</v>
      </c>
      <c r="G261" s="13">
        <v>13</v>
      </c>
      <c r="H261" s="31">
        <f t="shared" si="6"/>
        <v>4432.3499999999995</v>
      </c>
      <c r="I261" s="19"/>
    </row>
    <row r="262" spans="1:9" x14ac:dyDescent="0.3">
      <c r="A262" s="17" t="s">
        <v>37</v>
      </c>
      <c r="B262" s="10" t="s">
        <v>27</v>
      </c>
      <c r="C262" s="11" t="s">
        <v>14</v>
      </c>
      <c r="D262" s="10" t="s">
        <v>20</v>
      </c>
      <c r="E262" s="12">
        <v>42035</v>
      </c>
      <c r="F262" s="31">
        <v>799.95</v>
      </c>
      <c r="G262" s="13">
        <v>15</v>
      </c>
      <c r="H262" s="31">
        <f t="shared" si="6"/>
        <v>11999.25</v>
      </c>
      <c r="I262" s="19"/>
    </row>
    <row r="263" spans="1:9" x14ac:dyDescent="0.3">
      <c r="A263" s="9" t="s">
        <v>42</v>
      </c>
      <c r="B263" s="10" t="s">
        <v>24</v>
      </c>
      <c r="C263" s="11" t="s">
        <v>15</v>
      </c>
      <c r="D263" s="10" t="s">
        <v>22</v>
      </c>
      <c r="E263" s="12">
        <v>41794</v>
      </c>
      <c r="F263" s="31">
        <v>79.989999999999995</v>
      </c>
      <c r="G263" s="13">
        <v>12</v>
      </c>
      <c r="H263" s="31">
        <f t="shared" si="6"/>
        <v>959.87999999999988</v>
      </c>
      <c r="I263" s="19"/>
    </row>
    <row r="264" spans="1:9" x14ac:dyDescent="0.3">
      <c r="A264" s="17" t="s">
        <v>44</v>
      </c>
      <c r="B264" s="10" t="s">
        <v>23</v>
      </c>
      <c r="C264" s="11" t="s">
        <v>14</v>
      </c>
      <c r="D264" s="10" t="s">
        <v>21</v>
      </c>
      <c r="E264" s="12">
        <v>42228</v>
      </c>
      <c r="F264" s="31">
        <v>340.95</v>
      </c>
      <c r="G264" s="13">
        <v>13</v>
      </c>
      <c r="H264" s="31">
        <f t="shared" si="6"/>
        <v>4432.3499999999995</v>
      </c>
      <c r="I264" s="19"/>
    </row>
    <row r="265" spans="1:9" x14ac:dyDescent="0.3">
      <c r="A265" s="17" t="s">
        <v>41</v>
      </c>
      <c r="B265" s="10" t="s">
        <v>24</v>
      </c>
      <c r="C265" s="11" t="s">
        <v>17</v>
      </c>
      <c r="D265" s="10" t="s">
        <v>20</v>
      </c>
      <c r="E265" s="12">
        <v>42130</v>
      </c>
      <c r="F265" s="31">
        <v>79.989999999999995</v>
      </c>
      <c r="G265" s="13">
        <v>7</v>
      </c>
      <c r="H265" s="31">
        <f t="shared" si="6"/>
        <v>559.92999999999995</v>
      </c>
      <c r="I265" s="19"/>
    </row>
    <row r="266" spans="1:9" x14ac:dyDescent="0.3">
      <c r="A266" s="17" t="s">
        <v>37</v>
      </c>
      <c r="B266" s="10" t="s">
        <v>23</v>
      </c>
      <c r="C266" s="11" t="s">
        <v>14</v>
      </c>
      <c r="D266" s="10" t="s">
        <v>22</v>
      </c>
      <c r="E266" s="12">
        <v>41697</v>
      </c>
      <c r="F266" s="31">
        <v>340.95</v>
      </c>
      <c r="G266" s="13">
        <v>14</v>
      </c>
      <c r="H266" s="31">
        <f t="shared" si="6"/>
        <v>4773.3</v>
      </c>
      <c r="I266" s="19"/>
    </row>
    <row r="267" spans="1:9" x14ac:dyDescent="0.3">
      <c r="A267" s="9" t="s">
        <v>0</v>
      </c>
      <c r="B267" s="10" t="s">
        <v>24</v>
      </c>
      <c r="C267" s="11" t="s">
        <v>14</v>
      </c>
      <c r="D267" s="10" t="s">
        <v>18</v>
      </c>
      <c r="E267" s="12">
        <v>41685</v>
      </c>
      <c r="F267" s="31">
        <v>79.989999999999995</v>
      </c>
      <c r="G267" s="13">
        <v>17</v>
      </c>
      <c r="H267" s="31">
        <f t="shared" si="6"/>
        <v>1359.83</v>
      </c>
      <c r="I267" s="19"/>
    </row>
    <row r="268" spans="1:9" x14ac:dyDescent="0.3">
      <c r="A268" s="9" t="s">
        <v>36</v>
      </c>
      <c r="B268" s="10" t="s">
        <v>23</v>
      </c>
      <c r="C268" s="11" t="s">
        <v>15</v>
      </c>
      <c r="D268" s="10" t="s">
        <v>21</v>
      </c>
      <c r="E268" s="12">
        <v>41661</v>
      </c>
      <c r="F268" s="31">
        <v>340.95</v>
      </c>
      <c r="G268" s="13">
        <v>4</v>
      </c>
      <c r="H268" s="31">
        <f t="shared" si="6"/>
        <v>1363.8</v>
      </c>
      <c r="I268" s="19"/>
    </row>
    <row r="269" spans="1:9" x14ac:dyDescent="0.3">
      <c r="A269" s="17" t="s">
        <v>43</v>
      </c>
      <c r="B269" s="10" t="s">
        <v>23</v>
      </c>
      <c r="C269" s="11" t="s">
        <v>16</v>
      </c>
      <c r="D269" s="10" t="s">
        <v>19</v>
      </c>
      <c r="E269" s="12">
        <v>42270</v>
      </c>
      <c r="F269" s="31">
        <v>340.95</v>
      </c>
      <c r="G269" s="13">
        <v>6</v>
      </c>
      <c r="H269" s="31">
        <f t="shared" si="6"/>
        <v>2045.6999999999998</v>
      </c>
      <c r="I269" s="19"/>
    </row>
    <row r="270" spans="1:9" x14ac:dyDescent="0.3">
      <c r="A270" s="17" t="s">
        <v>39</v>
      </c>
      <c r="B270" s="10" t="s">
        <v>27</v>
      </c>
      <c r="C270" s="11" t="s">
        <v>14</v>
      </c>
      <c r="D270" s="10" t="s">
        <v>18</v>
      </c>
      <c r="E270" s="12">
        <v>42028</v>
      </c>
      <c r="F270" s="31">
        <v>799.95</v>
      </c>
      <c r="G270" s="13">
        <v>15</v>
      </c>
      <c r="H270" s="31">
        <f t="shared" si="6"/>
        <v>11999.25</v>
      </c>
      <c r="I270" s="19"/>
    </row>
    <row r="271" spans="1:9" x14ac:dyDescent="0.3">
      <c r="A271" s="17" t="s">
        <v>45</v>
      </c>
      <c r="B271" s="10" t="s">
        <v>24</v>
      </c>
      <c r="C271" s="11" t="s">
        <v>15</v>
      </c>
      <c r="D271" s="10" t="s">
        <v>21</v>
      </c>
      <c r="E271" s="12">
        <v>41836</v>
      </c>
      <c r="F271" s="31">
        <v>79.989999999999995</v>
      </c>
      <c r="G271" s="13">
        <v>2</v>
      </c>
      <c r="H271" s="31">
        <f t="shared" si="6"/>
        <v>159.97999999999999</v>
      </c>
      <c r="I271" s="19"/>
    </row>
    <row r="272" spans="1:9" x14ac:dyDescent="0.3">
      <c r="A272" s="9" t="s">
        <v>36</v>
      </c>
      <c r="B272" s="10" t="s">
        <v>25</v>
      </c>
      <c r="C272" s="11" t="s">
        <v>15</v>
      </c>
      <c r="D272" s="10" t="s">
        <v>20</v>
      </c>
      <c r="E272" s="12">
        <v>41735</v>
      </c>
      <c r="F272" s="31">
        <v>340.95</v>
      </c>
      <c r="G272" s="13">
        <v>5</v>
      </c>
      <c r="H272" s="31">
        <f t="shared" si="6"/>
        <v>1704.75</v>
      </c>
      <c r="I272" s="19"/>
    </row>
    <row r="273" spans="1:9" x14ac:dyDescent="0.3">
      <c r="A273" s="9" t="s">
        <v>0</v>
      </c>
      <c r="B273" s="10" t="s">
        <v>25</v>
      </c>
      <c r="C273" s="11" t="s">
        <v>14</v>
      </c>
      <c r="D273" s="10" t="s">
        <v>20</v>
      </c>
      <c r="E273" s="12">
        <v>42246</v>
      </c>
      <c r="F273" s="31">
        <v>340.95</v>
      </c>
      <c r="G273" s="13">
        <v>7</v>
      </c>
      <c r="H273" s="31">
        <f t="shared" si="6"/>
        <v>2386.65</v>
      </c>
      <c r="I273" s="19"/>
    </row>
    <row r="274" spans="1:9" x14ac:dyDescent="0.3">
      <c r="A274" s="9" t="s">
        <v>40</v>
      </c>
      <c r="B274" s="10" t="s">
        <v>26</v>
      </c>
      <c r="C274" s="11" t="s">
        <v>17</v>
      </c>
      <c r="D274" s="10" t="s">
        <v>18</v>
      </c>
      <c r="E274" s="12">
        <v>41654</v>
      </c>
      <c r="F274" s="31">
        <v>168.95</v>
      </c>
      <c r="G274" s="13">
        <v>11</v>
      </c>
      <c r="H274" s="31">
        <f t="shared" si="6"/>
        <v>1858.4499999999998</v>
      </c>
      <c r="I274" s="19"/>
    </row>
    <row r="275" spans="1:9" x14ac:dyDescent="0.3">
      <c r="A275" s="9" t="s">
        <v>40</v>
      </c>
      <c r="B275" s="10" t="s">
        <v>24</v>
      </c>
      <c r="C275" s="11" t="s">
        <v>17</v>
      </c>
      <c r="D275" s="10" t="s">
        <v>18</v>
      </c>
      <c r="E275" s="12">
        <v>41647</v>
      </c>
      <c r="F275" s="31">
        <v>79.989999999999995</v>
      </c>
      <c r="G275" s="13">
        <v>12</v>
      </c>
      <c r="H275" s="31">
        <f t="shared" si="6"/>
        <v>959.87999999999988</v>
      </c>
      <c r="I275" s="19"/>
    </row>
    <row r="276" spans="1:9" x14ac:dyDescent="0.3">
      <c r="A276" s="17" t="s">
        <v>45</v>
      </c>
      <c r="B276" s="10" t="s">
        <v>27</v>
      </c>
      <c r="C276" s="11" t="s">
        <v>15</v>
      </c>
      <c r="D276" s="10" t="s">
        <v>21</v>
      </c>
      <c r="E276" s="12">
        <v>41840</v>
      </c>
      <c r="F276" s="31">
        <v>799.95</v>
      </c>
      <c r="G276" s="13">
        <v>14</v>
      </c>
      <c r="H276" s="31">
        <f t="shared" si="6"/>
        <v>11199.300000000001</v>
      </c>
      <c r="I276" s="19"/>
    </row>
    <row r="277" spans="1:9" x14ac:dyDescent="0.3">
      <c r="A277" s="9" t="s">
        <v>42</v>
      </c>
      <c r="B277" s="10" t="s">
        <v>24</v>
      </c>
      <c r="C277" s="11" t="s">
        <v>15</v>
      </c>
      <c r="D277" s="10" t="s">
        <v>21</v>
      </c>
      <c r="E277" s="12">
        <v>41891</v>
      </c>
      <c r="F277" s="31">
        <v>79.989999999999995</v>
      </c>
      <c r="G277" s="13">
        <v>13</v>
      </c>
      <c r="H277" s="31">
        <f t="shared" si="6"/>
        <v>1039.8699999999999</v>
      </c>
      <c r="I277" s="19"/>
    </row>
    <row r="278" spans="1:9" x14ac:dyDescent="0.3">
      <c r="A278" s="9" t="s">
        <v>46</v>
      </c>
      <c r="B278" s="10" t="s">
        <v>23</v>
      </c>
      <c r="C278" s="11" t="s">
        <v>16</v>
      </c>
      <c r="D278" s="10" t="s">
        <v>20</v>
      </c>
      <c r="E278" s="12">
        <v>42235</v>
      </c>
      <c r="F278" s="31">
        <v>340.95</v>
      </c>
      <c r="G278" s="13">
        <v>1</v>
      </c>
      <c r="H278" s="31">
        <f t="shared" si="6"/>
        <v>340.95</v>
      </c>
      <c r="I278" s="19"/>
    </row>
    <row r="279" spans="1:9" x14ac:dyDescent="0.3">
      <c r="A279" s="9" t="s">
        <v>40</v>
      </c>
      <c r="B279" s="10" t="s">
        <v>27</v>
      </c>
      <c r="C279" s="11" t="s">
        <v>17</v>
      </c>
      <c r="D279" s="10" t="s">
        <v>20</v>
      </c>
      <c r="E279" s="12">
        <v>41948</v>
      </c>
      <c r="F279" s="31">
        <v>799.95</v>
      </c>
      <c r="G279" s="13">
        <v>7</v>
      </c>
      <c r="H279" s="31">
        <f t="shared" si="6"/>
        <v>5599.6500000000005</v>
      </c>
      <c r="I279" s="19"/>
    </row>
    <row r="280" spans="1:9" x14ac:dyDescent="0.3">
      <c r="A280" s="17" t="s">
        <v>37</v>
      </c>
      <c r="B280" s="10" t="s">
        <v>26</v>
      </c>
      <c r="C280" s="11" t="s">
        <v>14</v>
      </c>
      <c r="D280" s="10" t="s">
        <v>19</v>
      </c>
      <c r="E280" s="12">
        <v>41775</v>
      </c>
      <c r="F280" s="31">
        <v>168.95</v>
      </c>
      <c r="G280" s="13">
        <v>15</v>
      </c>
      <c r="H280" s="31">
        <f t="shared" si="6"/>
        <v>2534.25</v>
      </c>
      <c r="I280" s="19"/>
    </row>
    <row r="281" spans="1:9" x14ac:dyDescent="0.3">
      <c r="A281" s="9" t="s">
        <v>42</v>
      </c>
      <c r="B281" s="10" t="s">
        <v>24</v>
      </c>
      <c r="C281" s="11" t="s">
        <v>15</v>
      </c>
      <c r="D281" s="10" t="s">
        <v>22</v>
      </c>
      <c r="E281" s="12">
        <v>41829</v>
      </c>
      <c r="F281" s="31">
        <v>79.989999999999995</v>
      </c>
      <c r="G281" s="13">
        <v>12</v>
      </c>
      <c r="H281" s="31">
        <f t="shared" si="6"/>
        <v>959.87999999999988</v>
      </c>
      <c r="I281" s="19"/>
    </row>
    <row r="282" spans="1:9" x14ac:dyDescent="0.3">
      <c r="A282" s="9" t="s">
        <v>36</v>
      </c>
      <c r="B282" s="10" t="s">
        <v>24</v>
      </c>
      <c r="C282" s="11" t="s">
        <v>15</v>
      </c>
      <c r="D282" s="10" t="s">
        <v>18</v>
      </c>
      <c r="E282" s="12">
        <v>42143</v>
      </c>
      <c r="F282" s="31">
        <v>79.989999999999995</v>
      </c>
      <c r="G282" s="13">
        <v>17</v>
      </c>
      <c r="H282" s="31">
        <f t="shared" si="6"/>
        <v>1359.83</v>
      </c>
      <c r="I282" s="19"/>
    </row>
    <row r="283" spans="1:9" x14ac:dyDescent="0.3">
      <c r="A283" s="9" t="s">
        <v>40</v>
      </c>
      <c r="B283" s="10" t="s">
        <v>26</v>
      </c>
      <c r="C283" s="11" t="s">
        <v>17</v>
      </c>
      <c r="D283" s="10" t="s">
        <v>20</v>
      </c>
      <c r="E283" s="12">
        <v>42285</v>
      </c>
      <c r="F283" s="31">
        <v>168.95</v>
      </c>
      <c r="G283" s="13">
        <v>14</v>
      </c>
      <c r="H283" s="31">
        <f t="shared" si="6"/>
        <v>2365.2999999999997</v>
      </c>
      <c r="I283" s="19"/>
    </row>
    <row r="284" spans="1:9" x14ac:dyDescent="0.3">
      <c r="A284" s="17" t="s">
        <v>41</v>
      </c>
      <c r="B284" s="10" t="s">
        <v>26</v>
      </c>
      <c r="C284" s="11" t="s">
        <v>17</v>
      </c>
      <c r="D284" s="10" t="s">
        <v>19</v>
      </c>
      <c r="E284" s="12">
        <v>42011</v>
      </c>
      <c r="F284" s="31">
        <v>168.95</v>
      </c>
      <c r="G284" s="13">
        <v>15</v>
      </c>
      <c r="H284" s="31">
        <f t="shared" si="6"/>
        <v>2534.25</v>
      </c>
      <c r="I284" s="19"/>
    </row>
    <row r="285" spans="1:9" x14ac:dyDescent="0.3">
      <c r="A285" s="9" t="s">
        <v>42</v>
      </c>
      <c r="B285" s="10" t="s">
        <v>24</v>
      </c>
      <c r="C285" s="11" t="s">
        <v>15</v>
      </c>
      <c r="D285" s="10" t="s">
        <v>21</v>
      </c>
      <c r="E285" s="12">
        <v>41739</v>
      </c>
      <c r="F285" s="31">
        <v>79.989999999999995</v>
      </c>
      <c r="G285" s="13">
        <v>13</v>
      </c>
      <c r="H285" s="31">
        <f t="shared" si="6"/>
        <v>1039.8699999999999</v>
      </c>
      <c r="I285" s="19"/>
    </row>
    <row r="286" spans="1:9" x14ac:dyDescent="0.3">
      <c r="A286" s="9" t="s">
        <v>36</v>
      </c>
      <c r="B286" s="10" t="s">
        <v>26</v>
      </c>
      <c r="C286" s="11" t="s">
        <v>15</v>
      </c>
      <c r="D286" s="10" t="s">
        <v>18</v>
      </c>
      <c r="E286" s="12">
        <v>42190</v>
      </c>
      <c r="F286" s="31">
        <v>168.95</v>
      </c>
      <c r="G286" s="13">
        <v>8</v>
      </c>
      <c r="H286" s="31">
        <f t="shared" si="6"/>
        <v>1351.6</v>
      </c>
      <c r="I286" s="19"/>
    </row>
    <row r="287" spans="1:9" x14ac:dyDescent="0.3">
      <c r="A287" s="9" t="s">
        <v>38</v>
      </c>
      <c r="B287" s="10" t="s">
        <v>23</v>
      </c>
      <c r="C287" s="11" t="s">
        <v>15</v>
      </c>
      <c r="D287" s="10" t="s">
        <v>22</v>
      </c>
      <c r="E287" s="12">
        <v>41809</v>
      </c>
      <c r="F287" s="31">
        <v>340.95</v>
      </c>
      <c r="G287" s="13">
        <v>14</v>
      </c>
      <c r="H287" s="31">
        <f t="shared" si="6"/>
        <v>4773.3</v>
      </c>
      <c r="I287" s="19"/>
    </row>
    <row r="288" spans="1:9" x14ac:dyDescent="0.3">
      <c r="A288" s="17" t="s">
        <v>37</v>
      </c>
      <c r="B288" s="10" t="s">
        <v>23</v>
      </c>
      <c r="C288" s="11" t="s">
        <v>14</v>
      </c>
      <c r="D288" s="10" t="s">
        <v>19</v>
      </c>
      <c r="E288" s="12">
        <v>42053</v>
      </c>
      <c r="F288" s="31">
        <v>340.95</v>
      </c>
      <c r="G288" s="13">
        <v>2</v>
      </c>
      <c r="H288" s="31">
        <f t="shared" si="6"/>
        <v>681.9</v>
      </c>
      <c r="I288" s="19"/>
    </row>
    <row r="289" spans="1:9" x14ac:dyDescent="0.3">
      <c r="A289" s="9" t="s">
        <v>46</v>
      </c>
      <c r="B289" s="10" t="s">
        <v>25</v>
      </c>
      <c r="C289" s="11" t="s">
        <v>16</v>
      </c>
      <c r="D289" s="10" t="s">
        <v>18</v>
      </c>
      <c r="E289" s="12">
        <v>42141</v>
      </c>
      <c r="F289" s="31">
        <v>340.95</v>
      </c>
      <c r="G289" s="13">
        <v>11</v>
      </c>
      <c r="H289" s="31">
        <f t="shared" si="6"/>
        <v>3750.45</v>
      </c>
      <c r="I289" s="19"/>
    </row>
    <row r="290" spans="1:9" x14ac:dyDescent="0.3">
      <c r="A290" s="17" t="s">
        <v>45</v>
      </c>
      <c r="B290" s="10" t="s">
        <v>24</v>
      </c>
      <c r="C290" s="11" t="s">
        <v>15</v>
      </c>
      <c r="D290" s="10" t="s">
        <v>19</v>
      </c>
      <c r="E290" s="12">
        <v>42062</v>
      </c>
      <c r="F290" s="31">
        <v>79.989999999999995</v>
      </c>
      <c r="G290" s="13">
        <v>6</v>
      </c>
      <c r="H290" s="31">
        <f t="shared" si="6"/>
        <v>479.93999999999994</v>
      </c>
      <c r="I290" s="19"/>
    </row>
    <row r="291" spans="1:9" x14ac:dyDescent="0.3">
      <c r="A291" s="17" t="s">
        <v>37</v>
      </c>
      <c r="B291" s="10" t="s">
        <v>27</v>
      </c>
      <c r="C291" s="11" t="s">
        <v>14</v>
      </c>
      <c r="D291" s="10" t="s">
        <v>18</v>
      </c>
      <c r="E291" s="12">
        <v>42311</v>
      </c>
      <c r="F291" s="31">
        <v>799.95</v>
      </c>
      <c r="G291" s="13">
        <v>8</v>
      </c>
      <c r="H291" s="31">
        <f t="shared" si="6"/>
        <v>6399.6</v>
      </c>
      <c r="I291" s="19"/>
    </row>
    <row r="292" spans="1:9" x14ac:dyDescent="0.3">
      <c r="A292" s="17" t="s">
        <v>45</v>
      </c>
      <c r="B292" s="10" t="s">
        <v>27</v>
      </c>
      <c r="C292" s="11" t="s">
        <v>15</v>
      </c>
      <c r="D292" s="10" t="s">
        <v>20</v>
      </c>
      <c r="E292" s="12">
        <v>41815</v>
      </c>
      <c r="F292" s="31">
        <v>799.95</v>
      </c>
      <c r="G292" s="13">
        <v>9</v>
      </c>
      <c r="H292" s="31">
        <f t="shared" si="6"/>
        <v>7199.55</v>
      </c>
      <c r="I292" s="19"/>
    </row>
    <row r="293" spans="1:9" x14ac:dyDescent="0.3">
      <c r="A293" s="17" t="s">
        <v>44</v>
      </c>
      <c r="B293" s="10" t="s">
        <v>25</v>
      </c>
      <c r="C293" s="11" t="s">
        <v>14</v>
      </c>
      <c r="D293" s="10" t="s">
        <v>22</v>
      </c>
      <c r="E293" s="12">
        <v>42351</v>
      </c>
      <c r="F293" s="31">
        <v>340.95</v>
      </c>
      <c r="G293" s="13">
        <v>14</v>
      </c>
      <c r="H293" s="31">
        <f t="shared" si="6"/>
        <v>4773.3</v>
      </c>
      <c r="I293" s="19"/>
    </row>
    <row r="294" spans="1:9" x14ac:dyDescent="0.3">
      <c r="A294" s="17" t="s">
        <v>41</v>
      </c>
      <c r="B294" s="10" t="s">
        <v>23</v>
      </c>
      <c r="C294" s="11" t="s">
        <v>17</v>
      </c>
      <c r="D294" s="10" t="s">
        <v>22</v>
      </c>
      <c r="E294" s="12">
        <v>42001</v>
      </c>
      <c r="F294" s="31">
        <v>340.95</v>
      </c>
      <c r="G294" s="13">
        <v>9</v>
      </c>
      <c r="H294" s="31">
        <f t="shared" si="6"/>
        <v>3068.5499999999997</v>
      </c>
      <c r="I294" s="19"/>
    </row>
    <row r="295" spans="1:9" x14ac:dyDescent="0.3">
      <c r="A295" s="9" t="s">
        <v>42</v>
      </c>
      <c r="B295" s="10" t="s">
        <v>23</v>
      </c>
      <c r="C295" s="11" t="s">
        <v>15</v>
      </c>
      <c r="D295" s="10" t="s">
        <v>20</v>
      </c>
      <c r="E295" s="12">
        <v>41817</v>
      </c>
      <c r="F295" s="31">
        <v>340.95</v>
      </c>
      <c r="G295" s="13">
        <v>15</v>
      </c>
      <c r="H295" s="31">
        <f t="shared" si="6"/>
        <v>5114.25</v>
      </c>
      <c r="I295" s="19"/>
    </row>
    <row r="296" spans="1:9" x14ac:dyDescent="0.3">
      <c r="A296" s="17" t="s">
        <v>44</v>
      </c>
      <c r="B296" s="10" t="s">
        <v>24</v>
      </c>
      <c r="C296" s="11" t="s">
        <v>14</v>
      </c>
      <c r="D296" s="10" t="s">
        <v>20</v>
      </c>
      <c r="E296" s="12">
        <v>41962</v>
      </c>
      <c r="F296" s="31">
        <v>79.989999999999995</v>
      </c>
      <c r="G296" s="13">
        <v>10</v>
      </c>
      <c r="H296" s="31">
        <f t="shared" si="6"/>
        <v>799.9</v>
      </c>
      <c r="I296" s="19"/>
    </row>
    <row r="297" spans="1:9" x14ac:dyDescent="0.3">
      <c r="A297" s="9" t="s">
        <v>0</v>
      </c>
      <c r="B297" s="10" t="s">
        <v>25</v>
      </c>
      <c r="C297" s="11" t="s">
        <v>14</v>
      </c>
      <c r="D297" s="10" t="s">
        <v>20</v>
      </c>
      <c r="E297" s="12">
        <v>41965</v>
      </c>
      <c r="F297" s="31">
        <v>340.95</v>
      </c>
      <c r="G297" s="13">
        <v>15</v>
      </c>
      <c r="H297" s="31">
        <f t="shared" si="6"/>
        <v>5114.25</v>
      </c>
      <c r="I297" s="19"/>
    </row>
    <row r="298" spans="1:9" x14ac:dyDescent="0.3">
      <c r="A298" s="9" t="s">
        <v>36</v>
      </c>
      <c r="B298" s="10" t="s">
        <v>25</v>
      </c>
      <c r="C298" s="11" t="s">
        <v>15</v>
      </c>
      <c r="D298" s="10" t="s">
        <v>22</v>
      </c>
      <c r="E298" s="12">
        <v>41671</v>
      </c>
      <c r="F298" s="31">
        <v>340.95</v>
      </c>
      <c r="G298" s="13">
        <v>6</v>
      </c>
      <c r="H298" s="31">
        <f t="shared" si="6"/>
        <v>2045.6999999999998</v>
      </c>
      <c r="I298" s="19"/>
    </row>
    <row r="299" spans="1:9" x14ac:dyDescent="0.3">
      <c r="A299" s="17" t="s">
        <v>44</v>
      </c>
      <c r="B299" s="10" t="s">
        <v>23</v>
      </c>
      <c r="C299" s="11" t="s">
        <v>14</v>
      </c>
      <c r="D299" s="10" t="s">
        <v>21</v>
      </c>
      <c r="E299" s="12">
        <v>41845</v>
      </c>
      <c r="F299" s="31">
        <v>340.95</v>
      </c>
      <c r="G299" s="13">
        <v>14</v>
      </c>
      <c r="H299" s="31">
        <f t="shared" si="6"/>
        <v>4773.3</v>
      </c>
      <c r="I299" s="19"/>
    </row>
    <row r="300" spans="1:9" x14ac:dyDescent="0.3">
      <c r="A300" s="9" t="s">
        <v>0</v>
      </c>
      <c r="B300" s="10" t="s">
        <v>26</v>
      </c>
      <c r="C300" s="11" t="s">
        <v>14</v>
      </c>
      <c r="D300" s="10" t="s">
        <v>18</v>
      </c>
      <c r="E300" s="12">
        <v>42070</v>
      </c>
      <c r="F300" s="31">
        <v>168.95</v>
      </c>
      <c r="G300" s="13">
        <v>8</v>
      </c>
      <c r="H300" s="31">
        <f t="shared" si="6"/>
        <v>1351.6</v>
      </c>
      <c r="I300" s="19"/>
    </row>
    <row r="301" spans="1:9" x14ac:dyDescent="0.3">
      <c r="A301" s="17" t="s">
        <v>45</v>
      </c>
      <c r="B301" s="10" t="s">
        <v>24</v>
      </c>
      <c r="C301" s="11" t="s">
        <v>15</v>
      </c>
      <c r="D301" s="10" t="s">
        <v>19</v>
      </c>
      <c r="E301" s="12">
        <v>41927</v>
      </c>
      <c r="F301" s="31">
        <v>79.989999999999995</v>
      </c>
      <c r="G301" s="13">
        <v>2</v>
      </c>
      <c r="H301" s="31">
        <f t="shared" si="6"/>
        <v>159.97999999999999</v>
      </c>
      <c r="I301" s="19"/>
    </row>
    <row r="302" spans="1:9" x14ac:dyDescent="0.3">
      <c r="A302" s="9" t="s">
        <v>40</v>
      </c>
      <c r="B302" s="10" t="s">
        <v>23</v>
      </c>
      <c r="C302" s="11" t="s">
        <v>17</v>
      </c>
      <c r="D302" s="10" t="s">
        <v>19</v>
      </c>
      <c r="E302" s="12">
        <v>41899</v>
      </c>
      <c r="F302" s="31">
        <v>340.95</v>
      </c>
      <c r="G302" s="13">
        <v>9</v>
      </c>
      <c r="H302" s="31">
        <f t="shared" si="6"/>
        <v>3068.5499999999997</v>
      </c>
      <c r="I302" s="19"/>
    </row>
    <row r="303" spans="1:9" x14ac:dyDescent="0.3">
      <c r="A303" s="17" t="s">
        <v>39</v>
      </c>
      <c r="B303" s="10" t="s">
        <v>24</v>
      </c>
      <c r="C303" s="11" t="s">
        <v>14</v>
      </c>
      <c r="D303" s="10" t="s">
        <v>18</v>
      </c>
      <c r="E303" s="12">
        <v>42082</v>
      </c>
      <c r="F303" s="31">
        <v>79.989999999999995</v>
      </c>
      <c r="G303" s="13">
        <v>18</v>
      </c>
      <c r="H303" s="31">
        <f t="shared" si="6"/>
        <v>1439.82</v>
      </c>
      <c r="I303" s="19"/>
    </row>
    <row r="304" spans="1:9" x14ac:dyDescent="0.3">
      <c r="A304" s="9" t="s">
        <v>40</v>
      </c>
      <c r="B304" s="10" t="s">
        <v>26</v>
      </c>
      <c r="C304" s="11" t="s">
        <v>17</v>
      </c>
      <c r="D304" s="10" t="s">
        <v>19</v>
      </c>
      <c r="E304" s="12">
        <v>41825</v>
      </c>
      <c r="F304" s="31">
        <v>168.95</v>
      </c>
      <c r="G304" s="13">
        <v>7</v>
      </c>
      <c r="H304" s="31">
        <f t="shared" si="6"/>
        <v>1182.6499999999999</v>
      </c>
      <c r="I304" s="19"/>
    </row>
    <row r="305" spans="1:9" x14ac:dyDescent="0.3">
      <c r="A305" s="9" t="s">
        <v>38</v>
      </c>
      <c r="B305" s="10" t="s">
        <v>25</v>
      </c>
      <c r="C305" s="11" t="s">
        <v>16</v>
      </c>
      <c r="D305" s="10" t="s">
        <v>22</v>
      </c>
      <c r="E305" s="12">
        <v>42144</v>
      </c>
      <c r="F305" s="31">
        <v>340.95</v>
      </c>
      <c r="G305" s="13">
        <v>8</v>
      </c>
      <c r="H305" s="31">
        <f t="shared" si="6"/>
        <v>2727.6</v>
      </c>
      <c r="I305" s="19"/>
    </row>
    <row r="306" spans="1:9" x14ac:dyDescent="0.3">
      <c r="A306" s="9" t="s">
        <v>36</v>
      </c>
      <c r="B306" s="10" t="s">
        <v>27</v>
      </c>
      <c r="C306" s="11" t="s">
        <v>15</v>
      </c>
      <c r="D306" s="10" t="s">
        <v>22</v>
      </c>
      <c r="E306" s="12">
        <v>42305</v>
      </c>
      <c r="F306" s="31">
        <v>799.95</v>
      </c>
      <c r="G306" s="13">
        <v>5</v>
      </c>
      <c r="H306" s="31">
        <f t="shared" si="6"/>
        <v>3999.75</v>
      </c>
      <c r="I306" s="19"/>
    </row>
    <row r="307" spans="1:9" x14ac:dyDescent="0.3">
      <c r="A307" s="9" t="s">
        <v>42</v>
      </c>
      <c r="B307" s="10" t="s">
        <v>23</v>
      </c>
      <c r="C307" s="11" t="s">
        <v>15</v>
      </c>
      <c r="D307" s="10" t="s">
        <v>18</v>
      </c>
      <c r="E307" s="12">
        <v>41915</v>
      </c>
      <c r="F307" s="31">
        <v>340.95</v>
      </c>
      <c r="G307" s="13">
        <v>19</v>
      </c>
      <c r="H307" s="31">
        <f t="shared" si="6"/>
        <v>6478.05</v>
      </c>
      <c r="I307" s="19"/>
    </row>
    <row r="308" spans="1:9" x14ac:dyDescent="0.3">
      <c r="A308" s="17" t="s">
        <v>44</v>
      </c>
      <c r="B308" s="10" t="s">
        <v>23</v>
      </c>
      <c r="C308" s="11" t="s">
        <v>14</v>
      </c>
      <c r="D308" s="10" t="s">
        <v>21</v>
      </c>
      <c r="E308" s="12">
        <v>41752</v>
      </c>
      <c r="F308" s="31">
        <v>340.95</v>
      </c>
      <c r="G308" s="13">
        <v>2</v>
      </c>
      <c r="H308" s="31">
        <f t="shared" si="6"/>
        <v>681.9</v>
      </c>
      <c r="I308" s="19"/>
    </row>
    <row r="309" spans="1:9" x14ac:dyDescent="0.3">
      <c r="A309" s="9" t="s">
        <v>38</v>
      </c>
      <c r="B309" s="10" t="s">
        <v>23</v>
      </c>
      <c r="C309" s="11" t="s">
        <v>15</v>
      </c>
      <c r="D309" s="10" t="s">
        <v>21</v>
      </c>
      <c r="E309" s="12">
        <v>42347</v>
      </c>
      <c r="F309" s="31">
        <v>340.95</v>
      </c>
      <c r="G309" s="13">
        <v>7</v>
      </c>
      <c r="H309" s="31">
        <f t="shared" si="6"/>
        <v>2386.65</v>
      </c>
      <c r="I309" s="19"/>
    </row>
    <row r="310" spans="1:9" x14ac:dyDescent="0.3">
      <c r="A310" s="9" t="s">
        <v>36</v>
      </c>
      <c r="B310" s="10" t="s">
        <v>24</v>
      </c>
      <c r="C310" s="11" t="s">
        <v>15</v>
      </c>
      <c r="D310" s="10" t="s">
        <v>20</v>
      </c>
      <c r="E310" s="12">
        <v>42180</v>
      </c>
      <c r="F310" s="31">
        <v>79.989999999999995</v>
      </c>
      <c r="G310" s="13">
        <v>3</v>
      </c>
      <c r="H310" s="31">
        <f t="shared" si="6"/>
        <v>239.96999999999997</v>
      </c>
      <c r="I310" s="19"/>
    </row>
    <row r="311" spans="1:9" x14ac:dyDescent="0.3">
      <c r="A311" s="9" t="s">
        <v>42</v>
      </c>
      <c r="B311" s="10" t="s">
        <v>24</v>
      </c>
      <c r="C311" s="11" t="s">
        <v>15</v>
      </c>
      <c r="D311" s="10" t="s">
        <v>18</v>
      </c>
      <c r="E311" s="12">
        <v>41994</v>
      </c>
      <c r="F311" s="31">
        <v>79.989999999999995</v>
      </c>
      <c r="G311" s="13">
        <v>19</v>
      </c>
      <c r="H311" s="31">
        <f t="shared" si="6"/>
        <v>1519.81</v>
      </c>
      <c r="I311" s="19"/>
    </row>
    <row r="312" spans="1:9" x14ac:dyDescent="0.3">
      <c r="A312" s="9" t="s">
        <v>40</v>
      </c>
      <c r="B312" s="10" t="s">
        <v>25</v>
      </c>
      <c r="C312" s="11" t="s">
        <v>17</v>
      </c>
      <c r="D312" s="10" t="s">
        <v>19</v>
      </c>
      <c r="E312" s="12">
        <v>42032</v>
      </c>
      <c r="F312" s="31">
        <v>340.95</v>
      </c>
      <c r="G312" s="13">
        <v>15</v>
      </c>
      <c r="H312" s="31">
        <f t="shared" si="6"/>
        <v>5114.25</v>
      </c>
      <c r="I312" s="19"/>
    </row>
    <row r="313" spans="1:9" x14ac:dyDescent="0.3">
      <c r="A313" s="9" t="s">
        <v>36</v>
      </c>
      <c r="B313" s="10" t="s">
        <v>23</v>
      </c>
      <c r="C313" s="11" t="s">
        <v>15</v>
      </c>
      <c r="D313" s="10" t="s">
        <v>19</v>
      </c>
      <c r="E313" s="12">
        <v>42109</v>
      </c>
      <c r="F313" s="31">
        <v>340.95</v>
      </c>
      <c r="G313" s="13">
        <v>12</v>
      </c>
      <c r="H313" s="31">
        <f t="shared" si="6"/>
        <v>4091.3999999999996</v>
      </c>
      <c r="I313" s="19"/>
    </row>
    <row r="314" spans="1:9" x14ac:dyDescent="0.3">
      <c r="A314" s="9" t="s">
        <v>46</v>
      </c>
      <c r="B314" s="10" t="s">
        <v>24</v>
      </c>
      <c r="C314" s="11" t="s">
        <v>16</v>
      </c>
      <c r="D314" s="10" t="s">
        <v>20</v>
      </c>
      <c r="E314" s="12">
        <v>42200</v>
      </c>
      <c r="F314" s="31">
        <v>79.989999999999995</v>
      </c>
      <c r="G314" s="13">
        <v>3</v>
      </c>
      <c r="H314" s="31">
        <f t="shared" si="6"/>
        <v>239.96999999999997</v>
      </c>
      <c r="I314" s="19"/>
    </row>
    <row r="315" spans="1:9" x14ac:dyDescent="0.3">
      <c r="A315" s="9" t="s">
        <v>40</v>
      </c>
      <c r="B315" s="10" t="s">
        <v>24</v>
      </c>
      <c r="C315" s="11" t="s">
        <v>17</v>
      </c>
      <c r="D315" s="10" t="s">
        <v>21</v>
      </c>
      <c r="E315" s="12">
        <v>41717</v>
      </c>
      <c r="F315" s="31">
        <v>79.989999999999995</v>
      </c>
      <c r="G315" s="13">
        <v>5</v>
      </c>
      <c r="H315" s="31">
        <f t="shared" si="6"/>
        <v>399.95</v>
      </c>
      <c r="I315" s="19"/>
    </row>
    <row r="316" spans="1:9" x14ac:dyDescent="0.3">
      <c r="A316" s="9" t="s">
        <v>46</v>
      </c>
      <c r="B316" s="10" t="s">
        <v>26</v>
      </c>
      <c r="C316" s="11" t="s">
        <v>16</v>
      </c>
      <c r="D316" s="10" t="s">
        <v>18</v>
      </c>
      <c r="E316" s="12">
        <v>42197</v>
      </c>
      <c r="F316" s="31">
        <v>168.95</v>
      </c>
      <c r="G316" s="13">
        <v>13</v>
      </c>
      <c r="H316" s="31">
        <f t="shared" si="6"/>
        <v>2196.35</v>
      </c>
      <c r="I316" s="19"/>
    </row>
    <row r="317" spans="1:9" x14ac:dyDescent="0.3">
      <c r="A317" s="17" t="s">
        <v>37</v>
      </c>
      <c r="B317" s="10" t="s">
        <v>24</v>
      </c>
      <c r="C317" s="11" t="s">
        <v>14</v>
      </c>
      <c r="D317" s="10" t="s">
        <v>20</v>
      </c>
      <c r="E317" s="12">
        <v>41984</v>
      </c>
      <c r="F317" s="31">
        <v>79.989999999999995</v>
      </c>
      <c r="G317" s="13">
        <v>7</v>
      </c>
      <c r="H317" s="31">
        <f t="shared" si="6"/>
        <v>559.92999999999995</v>
      </c>
      <c r="I317" s="19"/>
    </row>
    <row r="318" spans="1:9" x14ac:dyDescent="0.3">
      <c r="A318" s="17" t="s">
        <v>45</v>
      </c>
      <c r="B318" s="10" t="s">
        <v>24</v>
      </c>
      <c r="C318" s="11" t="s">
        <v>15</v>
      </c>
      <c r="D318" s="10" t="s">
        <v>21</v>
      </c>
      <c r="E318" s="12">
        <v>42183</v>
      </c>
      <c r="F318" s="31">
        <v>79.989999999999995</v>
      </c>
      <c r="G318" s="13">
        <v>6</v>
      </c>
      <c r="H318" s="31">
        <f t="shared" si="6"/>
        <v>479.93999999999994</v>
      </c>
      <c r="I318" s="19"/>
    </row>
    <row r="319" spans="1:9" x14ac:dyDescent="0.3">
      <c r="A319" s="17" t="s">
        <v>41</v>
      </c>
      <c r="B319" s="10" t="s">
        <v>23</v>
      </c>
      <c r="C319" s="11" t="s">
        <v>17</v>
      </c>
      <c r="D319" s="10" t="s">
        <v>21</v>
      </c>
      <c r="E319" s="12">
        <v>42322</v>
      </c>
      <c r="F319" s="31">
        <v>340.95</v>
      </c>
      <c r="G319" s="13">
        <v>10</v>
      </c>
      <c r="H319" s="31">
        <f t="shared" si="6"/>
        <v>3409.5</v>
      </c>
      <c r="I319" s="19"/>
    </row>
    <row r="320" spans="1:9" x14ac:dyDescent="0.3">
      <c r="A320" s="17" t="s">
        <v>39</v>
      </c>
      <c r="B320" s="10" t="s">
        <v>24</v>
      </c>
      <c r="C320" s="11" t="s">
        <v>14</v>
      </c>
      <c r="D320" s="10" t="s">
        <v>19</v>
      </c>
      <c r="E320" s="12">
        <v>42181</v>
      </c>
      <c r="F320" s="31">
        <v>79.989999999999995</v>
      </c>
      <c r="G320" s="13">
        <v>15</v>
      </c>
      <c r="H320" s="31">
        <f t="shared" si="6"/>
        <v>1199.8499999999999</v>
      </c>
      <c r="I320" s="19"/>
    </row>
    <row r="321" spans="1:9" x14ac:dyDescent="0.3">
      <c r="A321" s="17" t="s">
        <v>43</v>
      </c>
      <c r="B321" s="10" t="s">
        <v>24</v>
      </c>
      <c r="C321" s="11" t="s">
        <v>16</v>
      </c>
      <c r="D321" s="10" t="s">
        <v>19</v>
      </c>
      <c r="E321" s="12">
        <v>42038</v>
      </c>
      <c r="F321" s="31">
        <v>79.989999999999995</v>
      </c>
      <c r="G321" s="13">
        <v>1</v>
      </c>
      <c r="H321" s="31">
        <f t="shared" si="6"/>
        <v>79.989999999999995</v>
      </c>
      <c r="I321" s="19"/>
    </row>
    <row r="322" spans="1:9" x14ac:dyDescent="0.3">
      <c r="A322" s="9" t="s">
        <v>36</v>
      </c>
      <c r="B322" s="10" t="s">
        <v>23</v>
      </c>
      <c r="C322" s="11" t="s">
        <v>15</v>
      </c>
      <c r="D322" s="10" t="s">
        <v>22</v>
      </c>
      <c r="E322" s="12">
        <v>41972</v>
      </c>
      <c r="F322" s="31">
        <v>340.95</v>
      </c>
      <c r="G322" s="13">
        <v>12</v>
      </c>
      <c r="H322" s="31">
        <f t="shared" ref="H322:H385" si="7">F322*G322</f>
        <v>4091.3999999999996</v>
      </c>
      <c r="I322" s="19"/>
    </row>
    <row r="323" spans="1:9" x14ac:dyDescent="0.3">
      <c r="A323" s="17" t="s">
        <v>37</v>
      </c>
      <c r="B323" s="10" t="s">
        <v>26</v>
      </c>
      <c r="C323" s="11" t="s">
        <v>14</v>
      </c>
      <c r="D323" s="10" t="s">
        <v>19</v>
      </c>
      <c r="E323" s="12">
        <v>41870</v>
      </c>
      <c r="F323" s="31">
        <v>168.95</v>
      </c>
      <c r="G323" s="13">
        <v>2</v>
      </c>
      <c r="H323" s="31">
        <f t="shared" si="7"/>
        <v>337.9</v>
      </c>
      <c r="I323" s="19"/>
    </row>
    <row r="324" spans="1:9" x14ac:dyDescent="0.3">
      <c r="A324" s="9" t="s">
        <v>40</v>
      </c>
      <c r="B324" s="10" t="s">
        <v>27</v>
      </c>
      <c r="C324" s="11" t="s">
        <v>17</v>
      </c>
      <c r="D324" s="10" t="s">
        <v>21</v>
      </c>
      <c r="E324" s="12">
        <v>42349</v>
      </c>
      <c r="F324" s="31">
        <v>799.95</v>
      </c>
      <c r="G324" s="13">
        <v>14</v>
      </c>
      <c r="H324" s="31">
        <f t="shared" si="7"/>
        <v>11199.300000000001</v>
      </c>
      <c r="I324" s="19"/>
    </row>
    <row r="325" spans="1:9" x14ac:dyDescent="0.3">
      <c r="A325" s="9" t="s">
        <v>0</v>
      </c>
      <c r="B325" s="10" t="s">
        <v>23</v>
      </c>
      <c r="C325" s="11" t="s">
        <v>14</v>
      </c>
      <c r="D325" s="10" t="s">
        <v>19</v>
      </c>
      <c r="E325" s="12">
        <v>41786</v>
      </c>
      <c r="F325" s="31">
        <v>340.95</v>
      </c>
      <c r="G325" s="13">
        <v>3</v>
      </c>
      <c r="H325" s="31">
        <f t="shared" si="7"/>
        <v>1022.8499999999999</v>
      </c>
      <c r="I325" s="19"/>
    </row>
    <row r="326" spans="1:9" x14ac:dyDescent="0.3">
      <c r="A326" s="17" t="s">
        <v>45</v>
      </c>
      <c r="B326" s="10" t="s">
        <v>23</v>
      </c>
      <c r="C326" s="11" t="s">
        <v>15</v>
      </c>
      <c r="D326" s="10" t="s">
        <v>19</v>
      </c>
      <c r="E326" s="12">
        <v>42001</v>
      </c>
      <c r="F326" s="31">
        <v>340.95</v>
      </c>
      <c r="G326" s="13">
        <v>8</v>
      </c>
      <c r="H326" s="31">
        <f t="shared" si="7"/>
        <v>2727.6</v>
      </c>
      <c r="I326" s="19"/>
    </row>
    <row r="327" spans="1:9" x14ac:dyDescent="0.3">
      <c r="A327" s="17" t="s">
        <v>41</v>
      </c>
      <c r="B327" s="10" t="s">
        <v>26</v>
      </c>
      <c r="C327" s="11" t="s">
        <v>17</v>
      </c>
      <c r="D327" s="10" t="s">
        <v>20</v>
      </c>
      <c r="E327" s="12">
        <v>42326</v>
      </c>
      <c r="F327" s="31">
        <v>168.95</v>
      </c>
      <c r="G327" s="13">
        <v>8</v>
      </c>
      <c r="H327" s="31">
        <f t="shared" si="7"/>
        <v>1351.6</v>
      </c>
      <c r="I327" s="19"/>
    </row>
    <row r="328" spans="1:9" x14ac:dyDescent="0.3">
      <c r="A328" s="9" t="s">
        <v>36</v>
      </c>
      <c r="B328" s="10" t="s">
        <v>23</v>
      </c>
      <c r="C328" s="11" t="s">
        <v>15</v>
      </c>
      <c r="D328" s="10" t="s">
        <v>18</v>
      </c>
      <c r="E328" s="12">
        <v>42304</v>
      </c>
      <c r="F328" s="31">
        <v>340.95</v>
      </c>
      <c r="G328" s="13">
        <v>16</v>
      </c>
      <c r="H328" s="31">
        <f t="shared" si="7"/>
        <v>5455.2</v>
      </c>
      <c r="I328" s="19"/>
    </row>
    <row r="329" spans="1:9" x14ac:dyDescent="0.3">
      <c r="A329" s="9" t="s">
        <v>0</v>
      </c>
      <c r="B329" s="10" t="s">
        <v>24</v>
      </c>
      <c r="C329" s="11" t="s">
        <v>14</v>
      </c>
      <c r="D329" s="10" t="s">
        <v>22</v>
      </c>
      <c r="E329" s="12">
        <v>42124</v>
      </c>
      <c r="F329" s="31">
        <v>79.989999999999995</v>
      </c>
      <c r="G329" s="13">
        <v>6</v>
      </c>
      <c r="H329" s="31">
        <f t="shared" si="7"/>
        <v>479.93999999999994</v>
      </c>
      <c r="I329" s="19"/>
    </row>
    <row r="330" spans="1:9" x14ac:dyDescent="0.3">
      <c r="A330" s="9" t="s">
        <v>36</v>
      </c>
      <c r="B330" s="10" t="s">
        <v>25</v>
      </c>
      <c r="C330" s="11" t="s">
        <v>15</v>
      </c>
      <c r="D330" s="10" t="s">
        <v>18</v>
      </c>
      <c r="E330" s="12">
        <v>41965</v>
      </c>
      <c r="F330" s="31">
        <v>340.95</v>
      </c>
      <c r="G330" s="13">
        <v>8</v>
      </c>
      <c r="H330" s="31">
        <f t="shared" si="7"/>
        <v>2727.6</v>
      </c>
      <c r="I330" s="19"/>
    </row>
    <row r="331" spans="1:9" x14ac:dyDescent="0.3">
      <c r="A331" s="9" t="s">
        <v>42</v>
      </c>
      <c r="B331" s="10" t="s">
        <v>25</v>
      </c>
      <c r="C331" s="11" t="s">
        <v>15</v>
      </c>
      <c r="D331" s="10" t="s">
        <v>21</v>
      </c>
      <c r="E331" s="12">
        <v>41990</v>
      </c>
      <c r="F331" s="31">
        <v>340.95</v>
      </c>
      <c r="G331" s="13">
        <v>9</v>
      </c>
      <c r="H331" s="31">
        <f t="shared" si="7"/>
        <v>3068.5499999999997</v>
      </c>
      <c r="I331" s="19"/>
    </row>
    <row r="332" spans="1:9" x14ac:dyDescent="0.3">
      <c r="A332" s="9" t="s">
        <v>36</v>
      </c>
      <c r="B332" s="10" t="s">
        <v>26</v>
      </c>
      <c r="C332" s="11" t="s">
        <v>15</v>
      </c>
      <c r="D332" s="10" t="s">
        <v>18</v>
      </c>
      <c r="E332" s="12">
        <v>42287</v>
      </c>
      <c r="F332" s="31">
        <v>168.95</v>
      </c>
      <c r="G332" s="13">
        <v>8</v>
      </c>
      <c r="H332" s="31">
        <f t="shared" si="7"/>
        <v>1351.6</v>
      </c>
      <c r="I332" s="19"/>
    </row>
    <row r="333" spans="1:9" x14ac:dyDescent="0.3">
      <c r="A333" s="9" t="s">
        <v>38</v>
      </c>
      <c r="B333" s="10" t="s">
        <v>27</v>
      </c>
      <c r="C333" s="11" t="s">
        <v>15</v>
      </c>
      <c r="D333" s="10" t="s">
        <v>20</v>
      </c>
      <c r="E333" s="12">
        <v>42014</v>
      </c>
      <c r="F333" s="31">
        <v>799.95</v>
      </c>
      <c r="G333" s="13">
        <v>15</v>
      </c>
      <c r="H333" s="31">
        <f t="shared" si="7"/>
        <v>11999.25</v>
      </c>
      <c r="I333" s="19"/>
    </row>
    <row r="334" spans="1:9" x14ac:dyDescent="0.3">
      <c r="A334" s="17" t="s">
        <v>39</v>
      </c>
      <c r="B334" s="10" t="s">
        <v>23</v>
      </c>
      <c r="C334" s="11" t="s">
        <v>14</v>
      </c>
      <c r="D334" s="10" t="s">
        <v>21</v>
      </c>
      <c r="E334" s="12">
        <v>41670</v>
      </c>
      <c r="F334" s="31">
        <v>340.95</v>
      </c>
      <c r="G334" s="13">
        <v>4</v>
      </c>
      <c r="H334" s="31">
        <f t="shared" si="7"/>
        <v>1363.8</v>
      </c>
      <c r="I334" s="19"/>
    </row>
    <row r="335" spans="1:9" x14ac:dyDescent="0.3">
      <c r="A335" s="9" t="s">
        <v>38</v>
      </c>
      <c r="B335" s="10" t="s">
        <v>27</v>
      </c>
      <c r="C335" s="11" t="s">
        <v>15</v>
      </c>
      <c r="D335" s="10" t="s">
        <v>22</v>
      </c>
      <c r="E335" s="12">
        <v>42151</v>
      </c>
      <c r="F335" s="31">
        <v>799.95</v>
      </c>
      <c r="G335" s="13">
        <v>4</v>
      </c>
      <c r="H335" s="31">
        <f t="shared" si="7"/>
        <v>3199.8</v>
      </c>
      <c r="I335" s="19"/>
    </row>
    <row r="336" spans="1:9" x14ac:dyDescent="0.3">
      <c r="A336" s="9" t="s">
        <v>46</v>
      </c>
      <c r="B336" s="10" t="s">
        <v>23</v>
      </c>
      <c r="C336" s="11" t="s">
        <v>16</v>
      </c>
      <c r="D336" s="10" t="s">
        <v>21</v>
      </c>
      <c r="E336" s="12">
        <v>41766</v>
      </c>
      <c r="F336" s="31">
        <v>340.95</v>
      </c>
      <c r="G336" s="13">
        <v>2</v>
      </c>
      <c r="H336" s="31">
        <f t="shared" si="7"/>
        <v>681.9</v>
      </c>
      <c r="I336" s="19"/>
    </row>
    <row r="337" spans="1:9" x14ac:dyDescent="0.3">
      <c r="A337" s="17" t="s">
        <v>37</v>
      </c>
      <c r="B337" s="10" t="s">
        <v>23</v>
      </c>
      <c r="C337" s="11" t="s">
        <v>14</v>
      </c>
      <c r="D337" s="10" t="s">
        <v>20</v>
      </c>
      <c r="E337" s="12">
        <v>41962</v>
      </c>
      <c r="F337" s="31">
        <v>340.95</v>
      </c>
      <c r="G337" s="13">
        <v>3</v>
      </c>
      <c r="H337" s="31">
        <f t="shared" si="7"/>
        <v>1022.8499999999999</v>
      </c>
      <c r="I337" s="19"/>
    </row>
    <row r="338" spans="1:9" x14ac:dyDescent="0.3">
      <c r="A338" s="9" t="s">
        <v>40</v>
      </c>
      <c r="B338" s="10" t="s">
        <v>27</v>
      </c>
      <c r="C338" s="11" t="s">
        <v>17</v>
      </c>
      <c r="D338" s="10" t="s">
        <v>21</v>
      </c>
      <c r="E338" s="12">
        <v>42014</v>
      </c>
      <c r="F338" s="31">
        <v>799.95</v>
      </c>
      <c r="G338" s="13">
        <v>7</v>
      </c>
      <c r="H338" s="31">
        <f t="shared" si="7"/>
        <v>5599.6500000000005</v>
      </c>
      <c r="I338" s="19"/>
    </row>
    <row r="339" spans="1:9" x14ac:dyDescent="0.3">
      <c r="A339" s="9" t="s">
        <v>46</v>
      </c>
      <c r="B339" s="10" t="s">
        <v>24</v>
      </c>
      <c r="C339" s="11" t="s">
        <v>16</v>
      </c>
      <c r="D339" s="10" t="s">
        <v>20</v>
      </c>
      <c r="E339" s="12">
        <v>41803</v>
      </c>
      <c r="F339" s="31">
        <v>79.989999999999995</v>
      </c>
      <c r="G339" s="13">
        <v>9</v>
      </c>
      <c r="H339" s="31">
        <f t="shared" si="7"/>
        <v>719.91</v>
      </c>
      <c r="I339" s="19"/>
    </row>
    <row r="340" spans="1:9" x14ac:dyDescent="0.3">
      <c r="A340" s="17" t="s">
        <v>41</v>
      </c>
      <c r="B340" s="10" t="s">
        <v>27</v>
      </c>
      <c r="C340" s="11" t="s">
        <v>17</v>
      </c>
      <c r="D340" s="10" t="s">
        <v>18</v>
      </c>
      <c r="E340" s="12">
        <v>42335</v>
      </c>
      <c r="F340" s="31">
        <v>799.95</v>
      </c>
      <c r="G340" s="13">
        <v>18</v>
      </c>
      <c r="H340" s="31">
        <f t="shared" si="7"/>
        <v>14399.1</v>
      </c>
      <c r="I340" s="19"/>
    </row>
    <row r="341" spans="1:9" x14ac:dyDescent="0.3">
      <c r="A341" s="9" t="s">
        <v>38</v>
      </c>
      <c r="B341" s="10" t="s">
        <v>25</v>
      </c>
      <c r="C341" s="11" t="s">
        <v>16</v>
      </c>
      <c r="D341" s="10" t="s">
        <v>22</v>
      </c>
      <c r="E341" s="12">
        <v>41794</v>
      </c>
      <c r="F341" s="31">
        <v>340.95</v>
      </c>
      <c r="G341" s="13">
        <v>2</v>
      </c>
      <c r="H341" s="31">
        <f t="shared" si="7"/>
        <v>681.9</v>
      </c>
      <c r="I341" s="19"/>
    </row>
    <row r="342" spans="1:9" x14ac:dyDescent="0.3">
      <c r="A342" s="17" t="s">
        <v>45</v>
      </c>
      <c r="B342" s="10" t="s">
        <v>25</v>
      </c>
      <c r="C342" s="11" t="s">
        <v>15</v>
      </c>
      <c r="D342" s="10" t="s">
        <v>21</v>
      </c>
      <c r="E342" s="12">
        <v>41899</v>
      </c>
      <c r="F342" s="31">
        <v>340.95</v>
      </c>
      <c r="G342" s="13">
        <v>8</v>
      </c>
      <c r="H342" s="31">
        <f t="shared" si="7"/>
        <v>2727.6</v>
      </c>
      <c r="I342" s="19"/>
    </row>
    <row r="343" spans="1:9" x14ac:dyDescent="0.3">
      <c r="A343" s="17" t="s">
        <v>44</v>
      </c>
      <c r="B343" s="10" t="s">
        <v>23</v>
      </c>
      <c r="C343" s="11" t="s">
        <v>14</v>
      </c>
      <c r="D343" s="10" t="s">
        <v>19</v>
      </c>
      <c r="E343" s="12">
        <v>42003</v>
      </c>
      <c r="F343" s="31">
        <v>340.95</v>
      </c>
      <c r="G343" s="13">
        <v>6</v>
      </c>
      <c r="H343" s="31">
        <f t="shared" si="7"/>
        <v>2045.6999999999998</v>
      </c>
      <c r="I343" s="19"/>
    </row>
    <row r="344" spans="1:9" x14ac:dyDescent="0.3">
      <c r="A344" s="17" t="s">
        <v>43</v>
      </c>
      <c r="B344" s="10" t="s">
        <v>25</v>
      </c>
      <c r="C344" s="11" t="s">
        <v>16</v>
      </c>
      <c r="D344" s="10" t="s">
        <v>21</v>
      </c>
      <c r="E344" s="12">
        <v>42129</v>
      </c>
      <c r="F344" s="31">
        <v>340.95</v>
      </c>
      <c r="G344" s="13">
        <v>10</v>
      </c>
      <c r="H344" s="31">
        <f t="shared" si="7"/>
        <v>3409.5</v>
      </c>
      <c r="I344" s="19"/>
    </row>
    <row r="345" spans="1:9" x14ac:dyDescent="0.3">
      <c r="A345" s="9" t="s">
        <v>40</v>
      </c>
      <c r="B345" s="10" t="s">
        <v>23</v>
      </c>
      <c r="C345" s="11" t="s">
        <v>17</v>
      </c>
      <c r="D345" s="10" t="s">
        <v>20</v>
      </c>
      <c r="E345" s="12">
        <v>42285</v>
      </c>
      <c r="F345" s="31">
        <v>340.95</v>
      </c>
      <c r="G345" s="13">
        <v>1</v>
      </c>
      <c r="H345" s="31">
        <f t="shared" si="7"/>
        <v>340.95</v>
      </c>
      <c r="I345" s="19"/>
    </row>
    <row r="346" spans="1:9" x14ac:dyDescent="0.3">
      <c r="A346" s="9" t="s">
        <v>46</v>
      </c>
      <c r="B346" s="10" t="s">
        <v>26</v>
      </c>
      <c r="C346" s="11" t="s">
        <v>16</v>
      </c>
      <c r="D346" s="10" t="s">
        <v>19</v>
      </c>
      <c r="E346" s="12">
        <v>42201</v>
      </c>
      <c r="F346" s="31">
        <v>168.95</v>
      </c>
      <c r="G346" s="13">
        <v>4</v>
      </c>
      <c r="H346" s="31">
        <f t="shared" si="7"/>
        <v>675.8</v>
      </c>
      <c r="I346" s="19"/>
    </row>
    <row r="347" spans="1:9" x14ac:dyDescent="0.3">
      <c r="A347" s="9" t="s">
        <v>0</v>
      </c>
      <c r="B347" s="10" t="s">
        <v>24</v>
      </c>
      <c r="C347" s="11" t="s">
        <v>14</v>
      </c>
      <c r="D347" s="10" t="s">
        <v>22</v>
      </c>
      <c r="E347" s="12">
        <v>42003</v>
      </c>
      <c r="F347" s="31">
        <v>79.989999999999995</v>
      </c>
      <c r="G347" s="13">
        <v>1</v>
      </c>
      <c r="H347" s="31">
        <f t="shared" si="7"/>
        <v>79.989999999999995</v>
      </c>
      <c r="I347" s="19"/>
    </row>
    <row r="348" spans="1:9" x14ac:dyDescent="0.3">
      <c r="A348" s="9" t="s">
        <v>36</v>
      </c>
      <c r="B348" s="10" t="s">
        <v>23</v>
      </c>
      <c r="C348" s="11" t="s">
        <v>15</v>
      </c>
      <c r="D348" s="10" t="s">
        <v>22</v>
      </c>
      <c r="E348" s="12">
        <v>42265</v>
      </c>
      <c r="F348" s="31">
        <v>340.95</v>
      </c>
      <c r="G348" s="13">
        <v>13</v>
      </c>
      <c r="H348" s="31">
        <f t="shared" si="7"/>
        <v>4432.3499999999995</v>
      </c>
      <c r="I348" s="19"/>
    </row>
    <row r="349" spans="1:9" x14ac:dyDescent="0.3">
      <c r="A349" s="17" t="s">
        <v>45</v>
      </c>
      <c r="B349" s="10" t="s">
        <v>23</v>
      </c>
      <c r="C349" s="11" t="s">
        <v>15</v>
      </c>
      <c r="D349" s="10" t="s">
        <v>18</v>
      </c>
      <c r="E349" s="12">
        <v>41721</v>
      </c>
      <c r="F349" s="31">
        <v>340.95</v>
      </c>
      <c r="G349" s="13">
        <v>16</v>
      </c>
      <c r="H349" s="31">
        <f t="shared" si="7"/>
        <v>5455.2</v>
      </c>
      <c r="I349" s="19"/>
    </row>
    <row r="350" spans="1:9" x14ac:dyDescent="0.3">
      <c r="A350" s="9" t="s">
        <v>46</v>
      </c>
      <c r="B350" s="10" t="s">
        <v>26</v>
      </c>
      <c r="C350" s="11" t="s">
        <v>16</v>
      </c>
      <c r="D350" s="10" t="s">
        <v>19</v>
      </c>
      <c r="E350" s="12">
        <v>42256</v>
      </c>
      <c r="F350" s="31">
        <v>168.95</v>
      </c>
      <c r="G350" s="13">
        <v>6</v>
      </c>
      <c r="H350" s="31">
        <f t="shared" si="7"/>
        <v>1013.6999999999999</v>
      </c>
      <c r="I350" s="19"/>
    </row>
    <row r="351" spans="1:9" x14ac:dyDescent="0.3">
      <c r="A351" s="9" t="s">
        <v>0</v>
      </c>
      <c r="B351" s="10" t="s">
        <v>27</v>
      </c>
      <c r="C351" s="11" t="s">
        <v>14</v>
      </c>
      <c r="D351" s="10" t="s">
        <v>22</v>
      </c>
      <c r="E351" s="12">
        <v>41744</v>
      </c>
      <c r="F351" s="31">
        <v>799.95</v>
      </c>
      <c r="G351" s="13">
        <v>4</v>
      </c>
      <c r="H351" s="31">
        <f t="shared" si="7"/>
        <v>3199.8</v>
      </c>
      <c r="I351" s="19"/>
    </row>
    <row r="352" spans="1:9" x14ac:dyDescent="0.3">
      <c r="A352" s="9" t="s">
        <v>36</v>
      </c>
      <c r="B352" s="10" t="s">
        <v>26</v>
      </c>
      <c r="C352" s="11" t="s">
        <v>15</v>
      </c>
      <c r="D352" s="10" t="s">
        <v>18</v>
      </c>
      <c r="E352" s="12">
        <v>41682</v>
      </c>
      <c r="F352" s="31">
        <v>168.95</v>
      </c>
      <c r="G352" s="13">
        <v>8</v>
      </c>
      <c r="H352" s="31">
        <f t="shared" si="7"/>
        <v>1351.6</v>
      </c>
      <c r="I352" s="19"/>
    </row>
    <row r="353" spans="1:9" x14ac:dyDescent="0.3">
      <c r="A353" s="17" t="s">
        <v>44</v>
      </c>
      <c r="B353" s="10" t="s">
        <v>23</v>
      </c>
      <c r="C353" s="11" t="s">
        <v>14</v>
      </c>
      <c r="D353" s="10" t="s">
        <v>20</v>
      </c>
      <c r="E353" s="12">
        <v>42312</v>
      </c>
      <c r="F353" s="31">
        <v>340.95</v>
      </c>
      <c r="G353" s="13">
        <v>11</v>
      </c>
      <c r="H353" s="31">
        <f t="shared" si="7"/>
        <v>3750.45</v>
      </c>
      <c r="I353" s="19"/>
    </row>
    <row r="354" spans="1:9" x14ac:dyDescent="0.3">
      <c r="A354" s="17" t="s">
        <v>37</v>
      </c>
      <c r="B354" s="10" t="s">
        <v>26</v>
      </c>
      <c r="C354" s="11" t="s">
        <v>14</v>
      </c>
      <c r="D354" s="10" t="s">
        <v>22</v>
      </c>
      <c r="E354" s="12">
        <v>42005</v>
      </c>
      <c r="F354" s="31">
        <v>168.95</v>
      </c>
      <c r="G354" s="13">
        <v>15</v>
      </c>
      <c r="H354" s="31">
        <f t="shared" si="7"/>
        <v>2534.25</v>
      </c>
      <c r="I354" s="19"/>
    </row>
    <row r="355" spans="1:9" x14ac:dyDescent="0.3">
      <c r="A355" s="9" t="s">
        <v>36</v>
      </c>
      <c r="B355" s="10" t="s">
        <v>23</v>
      </c>
      <c r="C355" s="11" t="s">
        <v>15</v>
      </c>
      <c r="D355" s="10" t="s">
        <v>22</v>
      </c>
      <c r="E355" s="12">
        <v>42360</v>
      </c>
      <c r="F355" s="31">
        <v>340.95</v>
      </c>
      <c r="G355" s="13">
        <v>15</v>
      </c>
      <c r="H355" s="31">
        <f t="shared" si="7"/>
        <v>5114.25</v>
      </c>
      <c r="I355" s="19"/>
    </row>
    <row r="356" spans="1:9" x14ac:dyDescent="0.3">
      <c r="A356" s="9" t="s">
        <v>42</v>
      </c>
      <c r="B356" s="10" t="s">
        <v>27</v>
      </c>
      <c r="C356" s="11" t="s">
        <v>15</v>
      </c>
      <c r="D356" s="10" t="s">
        <v>22</v>
      </c>
      <c r="E356" s="12">
        <v>41902</v>
      </c>
      <c r="F356" s="31">
        <v>799.95</v>
      </c>
      <c r="G356" s="13">
        <v>11</v>
      </c>
      <c r="H356" s="31">
        <f t="shared" si="7"/>
        <v>8799.4500000000007</v>
      </c>
      <c r="I356" s="19"/>
    </row>
    <row r="357" spans="1:9" x14ac:dyDescent="0.3">
      <c r="A357" s="17" t="s">
        <v>41</v>
      </c>
      <c r="B357" s="10" t="s">
        <v>24</v>
      </c>
      <c r="C357" s="11" t="s">
        <v>17</v>
      </c>
      <c r="D357" s="10" t="s">
        <v>22</v>
      </c>
      <c r="E357" s="12">
        <v>41703</v>
      </c>
      <c r="F357" s="31">
        <v>79.989999999999995</v>
      </c>
      <c r="G357" s="13">
        <v>10</v>
      </c>
      <c r="H357" s="31">
        <f t="shared" si="7"/>
        <v>799.9</v>
      </c>
      <c r="I357" s="19"/>
    </row>
    <row r="358" spans="1:9" x14ac:dyDescent="0.3">
      <c r="A358" s="9" t="s">
        <v>0</v>
      </c>
      <c r="B358" s="10" t="s">
        <v>25</v>
      </c>
      <c r="C358" s="11" t="s">
        <v>14</v>
      </c>
      <c r="D358" s="10" t="s">
        <v>21</v>
      </c>
      <c r="E358" s="12">
        <v>41796</v>
      </c>
      <c r="F358" s="31">
        <v>340.95</v>
      </c>
      <c r="G358" s="13">
        <v>9</v>
      </c>
      <c r="H358" s="31">
        <f t="shared" si="7"/>
        <v>3068.5499999999997</v>
      </c>
      <c r="I358" s="19"/>
    </row>
    <row r="359" spans="1:9" x14ac:dyDescent="0.3">
      <c r="A359" s="17" t="s">
        <v>44</v>
      </c>
      <c r="B359" s="10" t="s">
        <v>26</v>
      </c>
      <c r="C359" s="11" t="s">
        <v>14</v>
      </c>
      <c r="D359" s="10" t="s">
        <v>18</v>
      </c>
      <c r="E359" s="12">
        <v>42193</v>
      </c>
      <c r="F359" s="31">
        <v>168.95</v>
      </c>
      <c r="G359" s="13">
        <v>17</v>
      </c>
      <c r="H359" s="31">
        <f t="shared" si="7"/>
        <v>2872.1499999999996</v>
      </c>
      <c r="I359" s="19"/>
    </row>
    <row r="360" spans="1:9" x14ac:dyDescent="0.3">
      <c r="A360" s="9" t="s">
        <v>38</v>
      </c>
      <c r="B360" s="10" t="s">
        <v>24</v>
      </c>
      <c r="C360" s="11" t="s">
        <v>15</v>
      </c>
      <c r="D360" s="10" t="s">
        <v>18</v>
      </c>
      <c r="E360" s="12">
        <v>41818</v>
      </c>
      <c r="F360" s="31">
        <v>79.989999999999995</v>
      </c>
      <c r="G360" s="13">
        <v>12</v>
      </c>
      <c r="H360" s="31">
        <f t="shared" si="7"/>
        <v>959.87999999999988</v>
      </c>
      <c r="I360" s="19"/>
    </row>
    <row r="361" spans="1:9" x14ac:dyDescent="0.3">
      <c r="A361" s="9" t="s">
        <v>0</v>
      </c>
      <c r="B361" s="10" t="s">
        <v>25</v>
      </c>
      <c r="C361" s="11" t="s">
        <v>14</v>
      </c>
      <c r="D361" s="10" t="s">
        <v>20</v>
      </c>
      <c r="E361" s="12">
        <v>41948</v>
      </c>
      <c r="F361" s="31">
        <v>340.95</v>
      </c>
      <c r="G361" s="13">
        <v>6</v>
      </c>
      <c r="H361" s="31">
        <f t="shared" si="7"/>
        <v>2045.6999999999998</v>
      </c>
      <c r="I361" s="19"/>
    </row>
    <row r="362" spans="1:9" x14ac:dyDescent="0.3">
      <c r="A362" s="17" t="s">
        <v>44</v>
      </c>
      <c r="B362" s="10" t="s">
        <v>27</v>
      </c>
      <c r="C362" s="11" t="s">
        <v>14</v>
      </c>
      <c r="D362" s="10" t="s">
        <v>20</v>
      </c>
      <c r="E362" s="12">
        <v>41818</v>
      </c>
      <c r="F362" s="31">
        <v>799.95</v>
      </c>
      <c r="G362" s="13">
        <v>15</v>
      </c>
      <c r="H362" s="31">
        <f t="shared" si="7"/>
        <v>11999.25</v>
      </c>
      <c r="I362" s="19"/>
    </row>
    <row r="363" spans="1:9" x14ac:dyDescent="0.3">
      <c r="A363" s="9" t="s">
        <v>38</v>
      </c>
      <c r="B363" s="10" t="s">
        <v>23</v>
      </c>
      <c r="C363" s="11" t="s">
        <v>15</v>
      </c>
      <c r="D363" s="10" t="s">
        <v>19</v>
      </c>
      <c r="E363" s="12">
        <v>41752</v>
      </c>
      <c r="F363" s="31">
        <v>340.95</v>
      </c>
      <c r="G363" s="13">
        <v>1</v>
      </c>
      <c r="H363" s="31">
        <f t="shared" si="7"/>
        <v>340.95</v>
      </c>
      <c r="I363" s="19"/>
    </row>
    <row r="364" spans="1:9" x14ac:dyDescent="0.3">
      <c r="A364" s="17" t="s">
        <v>45</v>
      </c>
      <c r="B364" s="10" t="s">
        <v>27</v>
      </c>
      <c r="C364" s="11" t="s">
        <v>15</v>
      </c>
      <c r="D364" s="10" t="s">
        <v>21</v>
      </c>
      <c r="E364" s="12">
        <v>41943</v>
      </c>
      <c r="F364" s="31">
        <v>799.95</v>
      </c>
      <c r="G364" s="13">
        <v>4</v>
      </c>
      <c r="H364" s="31">
        <f t="shared" si="7"/>
        <v>3199.8</v>
      </c>
      <c r="I364" s="19"/>
    </row>
    <row r="365" spans="1:9" x14ac:dyDescent="0.3">
      <c r="A365" s="9" t="s">
        <v>46</v>
      </c>
      <c r="B365" s="10" t="s">
        <v>23</v>
      </c>
      <c r="C365" s="11" t="s">
        <v>16</v>
      </c>
      <c r="D365" s="10" t="s">
        <v>22</v>
      </c>
      <c r="E365" s="12">
        <v>42225</v>
      </c>
      <c r="F365" s="31">
        <v>340.95</v>
      </c>
      <c r="G365" s="13">
        <v>5</v>
      </c>
      <c r="H365" s="31">
        <f t="shared" si="7"/>
        <v>1704.75</v>
      </c>
      <c r="I365" s="19"/>
    </row>
    <row r="366" spans="1:9" x14ac:dyDescent="0.3">
      <c r="A366" s="17" t="s">
        <v>41</v>
      </c>
      <c r="B366" s="10" t="s">
        <v>27</v>
      </c>
      <c r="C366" s="11" t="s">
        <v>17</v>
      </c>
      <c r="D366" s="10" t="s">
        <v>20</v>
      </c>
      <c r="E366" s="12">
        <v>42125</v>
      </c>
      <c r="F366" s="31">
        <v>799.95</v>
      </c>
      <c r="G366" s="13">
        <v>9</v>
      </c>
      <c r="H366" s="31">
        <f t="shared" si="7"/>
        <v>7199.55</v>
      </c>
      <c r="I366" s="19"/>
    </row>
    <row r="367" spans="1:9" x14ac:dyDescent="0.3">
      <c r="A367" s="17" t="s">
        <v>39</v>
      </c>
      <c r="B367" s="10" t="s">
        <v>26</v>
      </c>
      <c r="C367" s="11" t="s">
        <v>14</v>
      </c>
      <c r="D367" s="10" t="s">
        <v>20</v>
      </c>
      <c r="E367" s="12">
        <v>42127</v>
      </c>
      <c r="F367" s="31">
        <v>168.95</v>
      </c>
      <c r="G367" s="13">
        <v>1</v>
      </c>
      <c r="H367" s="31">
        <f t="shared" si="7"/>
        <v>168.95</v>
      </c>
      <c r="I367" s="19"/>
    </row>
    <row r="368" spans="1:9" x14ac:dyDescent="0.3">
      <c r="A368" s="17" t="s">
        <v>37</v>
      </c>
      <c r="B368" s="10" t="s">
        <v>23</v>
      </c>
      <c r="C368" s="11" t="s">
        <v>14</v>
      </c>
      <c r="D368" s="10" t="s">
        <v>18</v>
      </c>
      <c r="E368" s="12">
        <v>42354</v>
      </c>
      <c r="F368" s="31">
        <v>340.95</v>
      </c>
      <c r="G368" s="13">
        <v>11</v>
      </c>
      <c r="H368" s="31">
        <f t="shared" si="7"/>
        <v>3750.45</v>
      </c>
      <c r="I368" s="19"/>
    </row>
    <row r="369" spans="1:9" x14ac:dyDescent="0.3">
      <c r="A369" s="17" t="s">
        <v>44</v>
      </c>
      <c r="B369" s="10" t="s">
        <v>24</v>
      </c>
      <c r="C369" s="11" t="s">
        <v>14</v>
      </c>
      <c r="D369" s="10" t="s">
        <v>20</v>
      </c>
      <c r="E369" s="12">
        <v>42003</v>
      </c>
      <c r="F369" s="31">
        <v>79.989999999999995</v>
      </c>
      <c r="G369" s="13">
        <v>5</v>
      </c>
      <c r="H369" s="31">
        <f t="shared" si="7"/>
        <v>399.95</v>
      </c>
      <c r="I369" s="19"/>
    </row>
    <row r="370" spans="1:9" x14ac:dyDescent="0.3">
      <c r="A370" s="9" t="s">
        <v>36</v>
      </c>
      <c r="B370" s="10" t="s">
        <v>25</v>
      </c>
      <c r="C370" s="11" t="s">
        <v>15</v>
      </c>
      <c r="D370" s="10" t="s">
        <v>22</v>
      </c>
      <c r="E370" s="12">
        <v>42192</v>
      </c>
      <c r="F370" s="31">
        <v>340.95</v>
      </c>
      <c r="G370" s="13">
        <v>7</v>
      </c>
      <c r="H370" s="31">
        <f t="shared" si="7"/>
        <v>2386.65</v>
      </c>
      <c r="I370" s="19"/>
    </row>
    <row r="371" spans="1:9" x14ac:dyDescent="0.3">
      <c r="A371" s="17" t="s">
        <v>45</v>
      </c>
      <c r="B371" s="10" t="s">
        <v>25</v>
      </c>
      <c r="C371" s="11" t="s">
        <v>15</v>
      </c>
      <c r="D371" s="10" t="s">
        <v>19</v>
      </c>
      <c r="E371" s="12">
        <v>41777</v>
      </c>
      <c r="F371" s="31">
        <v>340.95</v>
      </c>
      <c r="G371" s="13">
        <v>12</v>
      </c>
      <c r="H371" s="31">
        <f t="shared" si="7"/>
        <v>4091.3999999999996</v>
      </c>
      <c r="I371" s="19"/>
    </row>
    <row r="372" spans="1:9" x14ac:dyDescent="0.3">
      <c r="A372" s="9" t="s">
        <v>36</v>
      </c>
      <c r="B372" s="10" t="s">
        <v>25</v>
      </c>
      <c r="C372" s="11" t="s">
        <v>15</v>
      </c>
      <c r="D372" s="10" t="s">
        <v>20</v>
      </c>
      <c r="E372" s="12">
        <v>41710</v>
      </c>
      <c r="F372" s="31">
        <v>340.95</v>
      </c>
      <c r="G372" s="13">
        <v>6</v>
      </c>
      <c r="H372" s="31">
        <f t="shared" si="7"/>
        <v>2045.6999999999998</v>
      </c>
      <c r="I372" s="19"/>
    </row>
    <row r="373" spans="1:9" x14ac:dyDescent="0.3">
      <c r="A373" s="9" t="s">
        <v>46</v>
      </c>
      <c r="B373" s="10" t="s">
        <v>24</v>
      </c>
      <c r="C373" s="11" t="s">
        <v>16</v>
      </c>
      <c r="D373" s="10" t="s">
        <v>22</v>
      </c>
      <c r="E373" s="12">
        <v>42251</v>
      </c>
      <c r="F373" s="31">
        <v>79.989999999999995</v>
      </c>
      <c r="G373" s="13">
        <v>7</v>
      </c>
      <c r="H373" s="31">
        <f t="shared" si="7"/>
        <v>559.92999999999995</v>
      </c>
      <c r="I373" s="19"/>
    </row>
    <row r="374" spans="1:9" x14ac:dyDescent="0.3">
      <c r="A374" s="17" t="s">
        <v>44</v>
      </c>
      <c r="B374" s="10" t="s">
        <v>27</v>
      </c>
      <c r="C374" s="11" t="s">
        <v>14</v>
      </c>
      <c r="D374" s="10" t="s">
        <v>22</v>
      </c>
      <c r="E374" s="12">
        <v>42032</v>
      </c>
      <c r="F374" s="31">
        <v>799.95</v>
      </c>
      <c r="G374" s="13">
        <v>11</v>
      </c>
      <c r="H374" s="31">
        <f t="shared" si="7"/>
        <v>8799.4500000000007</v>
      </c>
      <c r="I374" s="19"/>
    </row>
    <row r="375" spans="1:9" x14ac:dyDescent="0.3">
      <c r="A375" s="9" t="s">
        <v>0</v>
      </c>
      <c r="B375" s="10" t="s">
        <v>27</v>
      </c>
      <c r="C375" s="11" t="s">
        <v>14</v>
      </c>
      <c r="D375" s="10" t="s">
        <v>20</v>
      </c>
      <c r="E375" s="12">
        <v>42218</v>
      </c>
      <c r="F375" s="31">
        <v>799.95</v>
      </c>
      <c r="G375" s="13">
        <v>5</v>
      </c>
      <c r="H375" s="31">
        <f t="shared" si="7"/>
        <v>3999.75</v>
      </c>
      <c r="I375" s="19"/>
    </row>
    <row r="376" spans="1:9" x14ac:dyDescent="0.3">
      <c r="A376" s="9" t="s">
        <v>36</v>
      </c>
      <c r="B376" s="10" t="s">
        <v>27</v>
      </c>
      <c r="C376" s="11" t="s">
        <v>15</v>
      </c>
      <c r="D376" s="10" t="s">
        <v>18</v>
      </c>
      <c r="E376" s="12">
        <v>42231</v>
      </c>
      <c r="F376" s="31">
        <v>799.95</v>
      </c>
      <c r="G376" s="13">
        <v>16</v>
      </c>
      <c r="H376" s="31">
        <f t="shared" si="7"/>
        <v>12799.2</v>
      </c>
      <c r="I376" s="19"/>
    </row>
    <row r="377" spans="1:9" x14ac:dyDescent="0.3">
      <c r="A377" s="9" t="s">
        <v>46</v>
      </c>
      <c r="B377" s="10" t="s">
        <v>24</v>
      </c>
      <c r="C377" s="11" t="s">
        <v>16</v>
      </c>
      <c r="D377" s="10" t="s">
        <v>22</v>
      </c>
      <c r="E377" s="12">
        <v>41774</v>
      </c>
      <c r="F377" s="31">
        <v>79.989999999999995</v>
      </c>
      <c r="G377" s="13">
        <v>3</v>
      </c>
      <c r="H377" s="31">
        <f t="shared" si="7"/>
        <v>239.96999999999997</v>
      </c>
      <c r="I377" s="19"/>
    </row>
    <row r="378" spans="1:9" x14ac:dyDescent="0.3">
      <c r="A378" s="9" t="s">
        <v>38</v>
      </c>
      <c r="B378" s="10" t="s">
        <v>24</v>
      </c>
      <c r="C378" s="11" t="s">
        <v>15</v>
      </c>
      <c r="D378" s="10" t="s">
        <v>18</v>
      </c>
      <c r="E378" s="12">
        <v>41747</v>
      </c>
      <c r="F378" s="31">
        <v>79.989999999999995</v>
      </c>
      <c r="G378" s="13">
        <v>12</v>
      </c>
      <c r="H378" s="31">
        <f t="shared" si="7"/>
        <v>959.87999999999988</v>
      </c>
      <c r="I378" s="19"/>
    </row>
    <row r="379" spans="1:9" x14ac:dyDescent="0.3">
      <c r="A379" s="17" t="s">
        <v>44</v>
      </c>
      <c r="B379" s="10" t="s">
        <v>25</v>
      </c>
      <c r="C379" s="11" t="s">
        <v>14</v>
      </c>
      <c r="D379" s="10" t="s">
        <v>22</v>
      </c>
      <c r="E379" s="12">
        <v>41986</v>
      </c>
      <c r="F379" s="31">
        <v>340.95</v>
      </c>
      <c r="G379" s="13">
        <v>1</v>
      </c>
      <c r="H379" s="31">
        <f t="shared" si="7"/>
        <v>340.95</v>
      </c>
      <c r="I379" s="19"/>
    </row>
    <row r="380" spans="1:9" x14ac:dyDescent="0.3">
      <c r="A380" s="9" t="s">
        <v>36</v>
      </c>
      <c r="B380" s="10" t="s">
        <v>25</v>
      </c>
      <c r="C380" s="11" t="s">
        <v>15</v>
      </c>
      <c r="D380" s="10" t="s">
        <v>19</v>
      </c>
      <c r="E380" s="12">
        <v>42000</v>
      </c>
      <c r="F380" s="31">
        <v>340.95</v>
      </c>
      <c r="G380" s="13">
        <v>3</v>
      </c>
      <c r="H380" s="31">
        <f t="shared" si="7"/>
        <v>1022.8499999999999</v>
      </c>
      <c r="I380" s="19"/>
    </row>
    <row r="381" spans="1:9" x14ac:dyDescent="0.3">
      <c r="A381" s="9" t="s">
        <v>42</v>
      </c>
      <c r="B381" s="10" t="s">
        <v>26</v>
      </c>
      <c r="C381" s="11" t="s">
        <v>15</v>
      </c>
      <c r="D381" s="10" t="s">
        <v>20</v>
      </c>
      <c r="E381" s="12">
        <v>42017</v>
      </c>
      <c r="F381" s="31">
        <v>168.95</v>
      </c>
      <c r="G381" s="13">
        <v>1</v>
      </c>
      <c r="H381" s="31">
        <f t="shared" si="7"/>
        <v>168.95</v>
      </c>
      <c r="I381" s="19"/>
    </row>
    <row r="382" spans="1:9" x14ac:dyDescent="0.3">
      <c r="A382" s="9" t="s">
        <v>36</v>
      </c>
      <c r="B382" s="10" t="s">
        <v>25</v>
      </c>
      <c r="C382" s="11" t="s">
        <v>15</v>
      </c>
      <c r="D382" s="10" t="s">
        <v>21</v>
      </c>
      <c r="E382" s="12">
        <v>41760</v>
      </c>
      <c r="F382" s="31">
        <v>340.95</v>
      </c>
      <c r="G382" s="13">
        <v>8</v>
      </c>
      <c r="H382" s="31">
        <f t="shared" si="7"/>
        <v>2727.6</v>
      </c>
      <c r="I382" s="19"/>
    </row>
    <row r="383" spans="1:9" x14ac:dyDescent="0.3">
      <c r="A383" s="17" t="s">
        <v>45</v>
      </c>
      <c r="B383" s="10" t="s">
        <v>25</v>
      </c>
      <c r="C383" s="11" t="s">
        <v>15</v>
      </c>
      <c r="D383" s="10" t="s">
        <v>18</v>
      </c>
      <c r="E383" s="12">
        <v>42057</v>
      </c>
      <c r="F383" s="31">
        <v>340.95</v>
      </c>
      <c r="G383" s="13">
        <v>19</v>
      </c>
      <c r="H383" s="31">
        <f t="shared" si="7"/>
        <v>6478.05</v>
      </c>
      <c r="I383" s="19"/>
    </row>
    <row r="384" spans="1:9" x14ac:dyDescent="0.3">
      <c r="A384" s="9" t="s">
        <v>46</v>
      </c>
      <c r="B384" s="10" t="s">
        <v>26</v>
      </c>
      <c r="C384" s="11" t="s">
        <v>16</v>
      </c>
      <c r="D384" s="10" t="s">
        <v>22</v>
      </c>
      <c r="E384" s="12">
        <v>41779</v>
      </c>
      <c r="F384" s="31">
        <v>168.95</v>
      </c>
      <c r="G384" s="13">
        <v>11</v>
      </c>
      <c r="H384" s="31">
        <f t="shared" si="7"/>
        <v>1858.4499999999998</v>
      </c>
      <c r="I384" s="19"/>
    </row>
    <row r="385" spans="1:9" x14ac:dyDescent="0.3">
      <c r="A385" s="9" t="s">
        <v>36</v>
      </c>
      <c r="B385" s="10" t="s">
        <v>26</v>
      </c>
      <c r="C385" s="11" t="s">
        <v>15</v>
      </c>
      <c r="D385" s="10" t="s">
        <v>21</v>
      </c>
      <c r="E385" s="12">
        <v>42272</v>
      </c>
      <c r="F385" s="31">
        <v>168.95</v>
      </c>
      <c r="G385" s="13">
        <v>6</v>
      </c>
      <c r="H385" s="31">
        <f t="shared" si="7"/>
        <v>1013.6999999999999</v>
      </c>
      <c r="I385" s="19"/>
    </row>
    <row r="386" spans="1:9" x14ac:dyDescent="0.3">
      <c r="A386" s="9" t="s">
        <v>42</v>
      </c>
      <c r="B386" s="10" t="s">
        <v>23</v>
      </c>
      <c r="C386" s="11" t="s">
        <v>15</v>
      </c>
      <c r="D386" s="10" t="s">
        <v>20</v>
      </c>
      <c r="E386" s="12">
        <v>41920</v>
      </c>
      <c r="F386" s="31">
        <v>340.95</v>
      </c>
      <c r="G386" s="13">
        <v>6</v>
      </c>
      <c r="H386" s="31">
        <f t="shared" ref="H386:H449" si="8">F386*G386</f>
        <v>2045.6999999999998</v>
      </c>
      <c r="I386" s="19"/>
    </row>
    <row r="387" spans="1:9" x14ac:dyDescent="0.3">
      <c r="A387" s="9" t="s">
        <v>40</v>
      </c>
      <c r="B387" s="10" t="s">
        <v>24</v>
      </c>
      <c r="C387" s="11" t="s">
        <v>17</v>
      </c>
      <c r="D387" s="10" t="s">
        <v>19</v>
      </c>
      <c r="E387" s="12">
        <v>41802</v>
      </c>
      <c r="F387" s="31">
        <v>79.989999999999995</v>
      </c>
      <c r="G387" s="13">
        <v>14</v>
      </c>
      <c r="H387" s="31">
        <f t="shared" si="8"/>
        <v>1119.8599999999999</v>
      </c>
      <c r="I387" s="19"/>
    </row>
    <row r="388" spans="1:9" x14ac:dyDescent="0.3">
      <c r="A388" s="17" t="s">
        <v>39</v>
      </c>
      <c r="B388" s="10" t="s">
        <v>24</v>
      </c>
      <c r="C388" s="11" t="s">
        <v>14</v>
      </c>
      <c r="D388" s="10" t="s">
        <v>22</v>
      </c>
      <c r="E388" s="12">
        <v>42200</v>
      </c>
      <c r="F388" s="31">
        <v>79.989999999999995</v>
      </c>
      <c r="G388" s="13">
        <v>8</v>
      </c>
      <c r="H388" s="31">
        <f t="shared" si="8"/>
        <v>639.91999999999996</v>
      </c>
      <c r="I388" s="19"/>
    </row>
    <row r="389" spans="1:9" x14ac:dyDescent="0.3">
      <c r="A389" s="17" t="s">
        <v>43</v>
      </c>
      <c r="B389" s="10" t="s">
        <v>27</v>
      </c>
      <c r="C389" s="11" t="s">
        <v>16</v>
      </c>
      <c r="D389" s="10" t="s">
        <v>22</v>
      </c>
      <c r="E389" s="12">
        <v>42119</v>
      </c>
      <c r="F389" s="31">
        <v>799.95</v>
      </c>
      <c r="G389" s="13">
        <v>14</v>
      </c>
      <c r="H389" s="31">
        <f t="shared" si="8"/>
        <v>11199.300000000001</v>
      </c>
      <c r="I389" s="19"/>
    </row>
    <row r="390" spans="1:9" x14ac:dyDescent="0.3">
      <c r="A390" s="17" t="s">
        <v>37</v>
      </c>
      <c r="B390" s="10" t="s">
        <v>26</v>
      </c>
      <c r="C390" s="11" t="s">
        <v>14</v>
      </c>
      <c r="D390" s="10" t="s">
        <v>22</v>
      </c>
      <c r="E390" s="12">
        <v>42196</v>
      </c>
      <c r="F390" s="31">
        <v>168.95</v>
      </c>
      <c r="G390" s="13">
        <v>4</v>
      </c>
      <c r="H390" s="31">
        <f t="shared" si="8"/>
        <v>675.8</v>
      </c>
      <c r="I390" s="19"/>
    </row>
    <row r="391" spans="1:9" x14ac:dyDescent="0.3">
      <c r="A391" s="9" t="s">
        <v>46</v>
      </c>
      <c r="B391" s="10" t="s">
        <v>24</v>
      </c>
      <c r="C391" s="11" t="s">
        <v>16</v>
      </c>
      <c r="D391" s="10" t="s">
        <v>21</v>
      </c>
      <c r="E391" s="12">
        <v>42363</v>
      </c>
      <c r="F391" s="31">
        <v>79.989999999999995</v>
      </c>
      <c r="G391" s="13">
        <v>11</v>
      </c>
      <c r="H391" s="31">
        <f t="shared" si="8"/>
        <v>879.89</v>
      </c>
      <c r="I391" s="19"/>
    </row>
    <row r="392" spans="1:9" x14ac:dyDescent="0.3">
      <c r="A392" s="9" t="s">
        <v>46</v>
      </c>
      <c r="B392" s="10" t="s">
        <v>23</v>
      </c>
      <c r="C392" s="11" t="s">
        <v>16</v>
      </c>
      <c r="D392" s="10" t="s">
        <v>22</v>
      </c>
      <c r="E392" s="12">
        <v>41955</v>
      </c>
      <c r="F392" s="31">
        <v>340.95</v>
      </c>
      <c r="G392" s="13">
        <v>2</v>
      </c>
      <c r="H392" s="31">
        <f t="shared" si="8"/>
        <v>681.9</v>
      </c>
      <c r="I392" s="19"/>
    </row>
    <row r="393" spans="1:9" x14ac:dyDescent="0.3">
      <c r="A393" s="17" t="s">
        <v>45</v>
      </c>
      <c r="B393" s="10" t="s">
        <v>24</v>
      </c>
      <c r="C393" s="11" t="s">
        <v>15</v>
      </c>
      <c r="D393" s="10" t="s">
        <v>21</v>
      </c>
      <c r="E393" s="12">
        <v>42256</v>
      </c>
      <c r="F393" s="31">
        <v>79.989999999999995</v>
      </c>
      <c r="G393" s="13">
        <v>2</v>
      </c>
      <c r="H393" s="31">
        <f t="shared" si="8"/>
        <v>159.97999999999999</v>
      </c>
      <c r="I393" s="19"/>
    </row>
    <row r="394" spans="1:9" x14ac:dyDescent="0.3">
      <c r="A394" s="9" t="s">
        <v>46</v>
      </c>
      <c r="B394" s="10" t="s">
        <v>24</v>
      </c>
      <c r="C394" s="11" t="s">
        <v>16</v>
      </c>
      <c r="D394" s="10" t="s">
        <v>21</v>
      </c>
      <c r="E394" s="12">
        <v>41646</v>
      </c>
      <c r="F394" s="31">
        <v>79.989999999999995</v>
      </c>
      <c r="G394" s="13">
        <v>7</v>
      </c>
      <c r="H394" s="31">
        <f t="shared" si="8"/>
        <v>559.92999999999995</v>
      </c>
      <c r="I394" s="19"/>
    </row>
    <row r="395" spans="1:9" x14ac:dyDescent="0.3">
      <c r="A395" s="17" t="s">
        <v>39</v>
      </c>
      <c r="B395" s="10" t="s">
        <v>24</v>
      </c>
      <c r="C395" s="11" t="s">
        <v>14</v>
      </c>
      <c r="D395" s="10" t="s">
        <v>18</v>
      </c>
      <c r="E395" s="12">
        <v>41962</v>
      </c>
      <c r="F395" s="31">
        <v>79.989999999999995</v>
      </c>
      <c r="G395" s="13">
        <v>13</v>
      </c>
      <c r="H395" s="31">
        <f t="shared" si="8"/>
        <v>1039.8699999999999</v>
      </c>
      <c r="I395" s="19"/>
    </row>
    <row r="396" spans="1:9" x14ac:dyDescent="0.3">
      <c r="A396" s="9" t="s">
        <v>42</v>
      </c>
      <c r="B396" s="10" t="s">
        <v>27</v>
      </c>
      <c r="C396" s="11" t="s">
        <v>15</v>
      </c>
      <c r="D396" s="10" t="s">
        <v>22</v>
      </c>
      <c r="E396" s="12">
        <v>41896</v>
      </c>
      <c r="F396" s="31">
        <v>799.95</v>
      </c>
      <c r="G396" s="13">
        <v>10</v>
      </c>
      <c r="H396" s="31">
        <f t="shared" si="8"/>
        <v>7999.5</v>
      </c>
      <c r="I396" s="19"/>
    </row>
    <row r="397" spans="1:9" x14ac:dyDescent="0.3">
      <c r="A397" s="17" t="s">
        <v>43</v>
      </c>
      <c r="B397" s="10" t="s">
        <v>23</v>
      </c>
      <c r="C397" s="11" t="s">
        <v>16</v>
      </c>
      <c r="D397" s="10" t="s">
        <v>21</v>
      </c>
      <c r="E397" s="12">
        <v>41909</v>
      </c>
      <c r="F397" s="31">
        <v>340.95</v>
      </c>
      <c r="G397" s="13">
        <v>1</v>
      </c>
      <c r="H397" s="31">
        <f t="shared" si="8"/>
        <v>340.95</v>
      </c>
      <c r="I397" s="19"/>
    </row>
    <row r="398" spans="1:9" x14ac:dyDescent="0.3">
      <c r="A398" s="9" t="s">
        <v>38</v>
      </c>
      <c r="B398" s="10" t="s">
        <v>26</v>
      </c>
      <c r="C398" s="11" t="s">
        <v>15</v>
      </c>
      <c r="D398" s="10" t="s">
        <v>18</v>
      </c>
      <c r="E398" s="12">
        <v>42003</v>
      </c>
      <c r="F398" s="31">
        <v>168.95</v>
      </c>
      <c r="G398" s="13">
        <v>9</v>
      </c>
      <c r="H398" s="31">
        <f t="shared" si="8"/>
        <v>1520.55</v>
      </c>
      <c r="I398" s="19"/>
    </row>
    <row r="399" spans="1:9" x14ac:dyDescent="0.3">
      <c r="A399" s="9" t="s">
        <v>36</v>
      </c>
      <c r="B399" s="10" t="s">
        <v>25</v>
      </c>
      <c r="C399" s="11" t="s">
        <v>15</v>
      </c>
      <c r="D399" s="10" t="s">
        <v>18</v>
      </c>
      <c r="E399" s="12">
        <v>41676</v>
      </c>
      <c r="F399" s="31">
        <v>340.95</v>
      </c>
      <c r="G399" s="13">
        <v>17</v>
      </c>
      <c r="H399" s="31">
        <f t="shared" si="8"/>
        <v>5796.15</v>
      </c>
      <c r="I399" s="19"/>
    </row>
    <row r="400" spans="1:9" x14ac:dyDescent="0.3">
      <c r="A400" s="9" t="s">
        <v>0</v>
      </c>
      <c r="B400" s="10" t="s">
        <v>27</v>
      </c>
      <c r="C400" s="11" t="s">
        <v>14</v>
      </c>
      <c r="D400" s="10" t="s">
        <v>19</v>
      </c>
      <c r="E400" s="12">
        <v>41873</v>
      </c>
      <c r="F400" s="31">
        <v>799.95</v>
      </c>
      <c r="G400" s="13">
        <v>13</v>
      </c>
      <c r="H400" s="31">
        <f t="shared" si="8"/>
        <v>10399.35</v>
      </c>
      <c r="I400" s="19"/>
    </row>
    <row r="401" spans="1:9" x14ac:dyDescent="0.3">
      <c r="A401" s="9" t="s">
        <v>42</v>
      </c>
      <c r="B401" s="10" t="s">
        <v>25</v>
      </c>
      <c r="C401" s="11" t="s">
        <v>15</v>
      </c>
      <c r="D401" s="10" t="s">
        <v>22</v>
      </c>
      <c r="E401" s="12">
        <v>41920</v>
      </c>
      <c r="F401" s="31">
        <v>340.95</v>
      </c>
      <c r="G401" s="13">
        <v>15</v>
      </c>
      <c r="H401" s="31">
        <f t="shared" si="8"/>
        <v>5114.25</v>
      </c>
      <c r="I401" s="19"/>
    </row>
    <row r="402" spans="1:9" x14ac:dyDescent="0.3">
      <c r="A402" s="9" t="s">
        <v>0</v>
      </c>
      <c r="B402" s="10" t="s">
        <v>25</v>
      </c>
      <c r="C402" s="11" t="s">
        <v>14</v>
      </c>
      <c r="D402" s="10" t="s">
        <v>19</v>
      </c>
      <c r="E402" s="12">
        <v>41693</v>
      </c>
      <c r="F402" s="31">
        <v>340.95</v>
      </c>
      <c r="G402" s="13">
        <v>12</v>
      </c>
      <c r="H402" s="31">
        <f t="shared" si="8"/>
        <v>4091.3999999999996</v>
      </c>
      <c r="I402" s="19"/>
    </row>
    <row r="403" spans="1:9" x14ac:dyDescent="0.3">
      <c r="A403" s="17" t="s">
        <v>45</v>
      </c>
      <c r="B403" s="10" t="s">
        <v>24</v>
      </c>
      <c r="C403" s="11" t="s">
        <v>15</v>
      </c>
      <c r="D403" s="10" t="s">
        <v>19</v>
      </c>
      <c r="E403" s="12">
        <v>42202</v>
      </c>
      <c r="F403" s="31">
        <v>79.989999999999995</v>
      </c>
      <c r="G403" s="13">
        <v>12</v>
      </c>
      <c r="H403" s="31">
        <f t="shared" si="8"/>
        <v>959.87999999999988</v>
      </c>
      <c r="I403" s="19"/>
    </row>
    <row r="404" spans="1:9" x14ac:dyDescent="0.3">
      <c r="A404" s="17" t="s">
        <v>41</v>
      </c>
      <c r="B404" s="10" t="s">
        <v>24</v>
      </c>
      <c r="C404" s="11" t="s">
        <v>17</v>
      </c>
      <c r="D404" s="10" t="s">
        <v>21</v>
      </c>
      <c r="E404" s="12">
        <v>42349</v>
      </c>
      <c r="F404" s="31">
        <v>79.989999999999995</v>
      </c>
      <c r="G404" s="13">
        <v>15</v>
      </c>
      <c r="H404" s="31">
        <f t="shared" si="8"/>
        <v>1199.8499999999999</v>
      </c>
      <c r="I404" s="19"/>
    </row>
    <row r="405" spans="1:9" x14ac:dyDescent="0.3">
      <c r="A405" s="17" t="s">
        <v>37</v>
      </c>
      <c r="B405" s="10" t="s">
        <v>26</v>
      </c>
      <c r="C405" s="11" t="s">
        <v>14</v>
      </c>
      <c r="D405" s="10" t="s">
        <v>21</v>
      </c>
      <c r="E405" s="12">
        <v>42182</v>
      </c>
      <c r="F405" s="31">
        <v>168.95</v>
      </c>
      <c r="G405" s="13">
        <v>13</v>
      </c>
      <c r="H405" s="31">
        <f t="shared" si="8"/>
        <v>2196.35</v>
      </c>
      <c r="I405" s="19"/>
    </row>
    <row r="406" spans="1:9" x14ac:dyDescent="0.3">
      <c r="A406" s="9" t="s">
        <v>40</v>
      </c>
      <c r="B406" s="10" t="s">
        <v>23</v>
      </c>
      <c r="C406" s="11" t="s">
        <v>17</v>
      </c>
      <c r="D406" s="10" t="s">
        <v>19</v>
      </c>
      <c r="E406" s="12">
        <v>42342</v>
      </c>
      <c r="F406" s="31">
        <v>340.95</v>
      </c>
      <c r="G406" s="13">
        <v>13</v>
      </c>
      <c r="H406" s="31">
        <f t="shared" si="8"/>
        <v>4432.3499999999995</v>
      </c>
      <c r="I406" s="19"/>
    </row>
    <row r="407" spans="1:9" x14ac:dyDescent="0.3">
      <c r="A407" s="9" t="s">
        <v>38</v>
      </c>
      <c r="B407" s="10" t="s">
        <v>23</v>
      </c>
      <c r="C407" s="11" t="s">
        <v>15</v>
      </c>
      <c r="D407" s="10" t="s">
        <v>18</v>
      </c>
      <c r="E407" s="12">
        <v>42284</v>
      </c>
      <c r="F407" s="31">
        <v>340.95</v>
      </c>
      <c r="G407" s="13">
        <v>12</v>
      </c>
      <c r="H407" s="31">
        <f t="shared" si="8"/>
        <v>4091.3999999999996</v>
      </c>
      <c r="I407" s="19"/>
    </row>
    <row r="408" spans="1:9" x14ac:dyDescent="0.3">
      <c r="A408" s="9" t="s">
        <v>40</v>
      </c>
      <c r="B408" s="10" t="s">
        <v>26</v>
      </c>
      <c r="C408" s="11" t="s">
        <v>17</v>
      </c>
      <c r="D408" s="10" t="s">
        <v>20</v>
      </c>
      <c r="E408" s="12">
        <v>42329</v>
      </c>
      <c r="F408" s="31">
        <v>168.95</v>
      </c>
      <c r="G408" s="13">
        <v>3</v>
      </c>
      <c r="H408" s="31">
        <f t="shared" si="8"/>
        <v>506.84999999999997</v>
      </c>
      <c r="I408" s="19"/>
    </row>
    <row r="409" spans="1:9" x14ac:dyDescent="0.3">
      <c r="A409" s="17" t="s">
        <v>43</v>
      </c>
      <c r="B409" s="10" t="s">
        <v>24</v>
      </c>
      <c r="C409" s="11" t="s">
        <v>16</v>
      </c>
      <c r="D409" s="10" t="s">
        <v>22</v>
      </c>
      <c r="E409" s="12">
        <v>42235</v>
      </c>
      <c r="F409" s="31">
        <v>79.989999999999995</v>
      </c>
      <c r="G409" s="13">
        <v>7</v>
      </c>
      <c r="H409" s="31">
        <f t="shared" si="8"/>
        <v>559.92999999999995</v>
      </c>
      <c r="I409" s="19"/>
    </row>
    <row r="410" spans="1:9" x14ac:dyDescent="0.3">
      <c r="A410" s="17" t="s">
        <v>41</v>
      </c>
      <c r="B410" s="10" t="s">
        <v>23</v>
      </c>
      <c r="C410" s="11" t="s">
        <v>17</v>
      </c>
      <c r="D410" s="10" t="s">
        <v>18</v>
      </c>
      <c r="E410" s="12">
        <v>41653</v>
      </c>
      <c r="F410" s="31">
        <v>340.95</v>
      </c>
      <c r="G410" s="13">
        <v>13</v>
      </c>
      <c r="H410" s="31">
        <f t="shared" si="8"/>
        <v>4432.3499999999995</v>
      </c>
      <c r="I410" s="19"/>
    </row>
    <row r="411" spans="1:9" x14ac:dyDescent="0.3">
      <c r="A411" s="9" t="s">
        <v>0</v>
      </c>
      <c r="B411" s="10" t="s">
        <v>24</v>
      </c>
      <c r="C411" s="11" t="s">
        <v>14</v>
      </c>
      <c r="D411" s="10" t="s">
        <v>18</v>
      </c>
      <c r="E411" s="12">
        <v>42095</v>
      </c>
      <c r="F411" s="31">
        <v>79.989999999999995</v>
      </c>
      <c r="G411" s="13">
        <v>9</v>
      </c>
      <c r="H411" s="31">
        <f t="shared" si="8"/>
        <v>719.91</v>
      </c>
      <c r="I411" s="19"/>
    </row>
    <row r="412" spans="1:9" x14ac:dyDescent="0.3">
      <c r="A412" s="17" t="s">
        <v>39</v>
      </c>
      <c r="B412" s="10" t="s">
        <v>27</v>
      </c>
      <c r="C412" s="11" t="s">
        <v>14</v>
      </c>
      <c r="D412" s="10" t="s">
        <v>21</v>
      </c>
      <c r="E412" s="12">
        <v>42348</v>
      </c>
      <c r="F412" s="31">
        <v>799.95</v>
      </c>
      <c r="G412" s="13">
        <v>5</v>
      </c>
      <c r="H412" s="31">
        <f t="shared" si="8"/>
        <v>3999.75</v>
      </c>
      <c r="I412" s="19"/>
    </row>
    <row r="413" spans="1:9" x14ac:dyDescent="0.3">
      <c r="A413" s="17" t="s">
        <v>37</v>
      </c>
      <c r="B413" s="10" t="s">
        <v>27</v>
      </c>
      <c r="C413" s="11" t="s">
        <v>14</v>
      </c>
      <c r="D413" s="10" t="s">
        <v>21</v>
      </c>
      <c r="E413" s="12">
        <v>41937</v>
      </c>
      <c r="F413" s="31">
        <v>799.95</v>
      </c>
      <c r="G413" s="13">
        <v>2</v>
      </c>
      <c r="H413" s="31">
        <f t="shared" si="8"/>
        <v>1599.9</v>
      </c>
      <c r="I413" s="19"/>
    </row>
    <row r="414" spans="1:9" x14ac:dyDescent="0.3">
      <c r="A414" s="17" t="s">
        <v>37</v>
      </c>
      <c r="B414" s="10" t="s">
        <v>26</v>
      </c>
      <c r="C414" s="11" t="s">
        <v>14</v>
      </c>
      <c r="D414" s="10" t="s">
        <v>19</v>
      </c>
      <c r="E414" s="12">
        <v>42117</v>
      </c>
      <c r="F414" s="31">
        <v>168.95</v>
      </c>
      <c r="G414" s="13">
        <v>12</v>
      </c>
      <c r="H414" s="31">
        <f t="shared" si="8"/>
        <v>2027.3999999999999</v>
      </c>
      <c r="I414" s="19"/>
    </row>
    <row r="415" spans="1:9" x14ac:dyDescent="0.3">
      <c r="A415" s="17" t="s">
        <v>41</v>
      </c>
      <c r="B415" s="10" t="s">
        <v>23</v>
      </c>
      <c r="C415" s="11" t="s">
        <v>17</v>
      </c>
      <c r="D415" s="10" t="s">
        <v>19</v>
      </c>
      <c r="E415" s="12">
        <v>41770</v>
      </c>
      <c r="F415" s="31">
        <v>340.95</v>
      </c>
      <c r="G415" s="13">
        <v>15</v>
      </c>
      <c r="H415" s="31">
        <f t="shared" si="8"/>
        <v>5114.25</v>
      </c>
      <c r="I415" s="19"/>
    </row>
    <row r="416" spans="1:9" x14ac:dyDescent="0.3">
      <c r="A416" s="17" t="s">
        <v>37</v>
      </c>
      <c r="B416" s="10" t="s">
        <v>26</v>
      </c>
      <c r="C416" s="11" t="s">
        <v>14</v>
      </c>
      <c r="D416" s="10" t="s">
        <v>20</v>
      </c>
      <c r="E416" s="12">
        <v>41885</v>
      </c>
      <c r="F416" s="31">
        <v>168.95</v>
      </c>
      <c r="G416" s="13">
        <v>12</v>
      </c>
      <c r="H416" s="31">
        <f t="shared" si="8"/>
        <v>2027.3999999999999</v>
      </c>
      <c r="I416" s="19"/>
    </row>
    <row r="417" spans="1:9" x14ac:dyDescent="0.3">
      <c r="A417" s="9" t="s">
        <v>0</v>
      </c>
      <c r="B417" s="10" t="s">
        <v>23</v>
      </c>
      <c r="C417" s="11" t="s">
        <v>14</v>
      </c>
      <c r="D417" s="10" t="s">
        <v>19</v>
      </c>
      <c r="E417" s="12">
        <v>41719</v>
      </c>
      <c r="F417" s="31">
        <v>340.95</v>
      </c>
      <c r="G417" s="13">
        <v>1</v>
      </c>
      <c r="H417" s="31">
        <f t="shared" si="8"/>
        <v>340.95</v>
      </c>
      <c r="I417" s="19"/>
    </row>
    <row r="418" spans="1:9" x14ac:dyDescent="0.3">
      <c r="A418" s="17" t="s">
        <v>45</v>
      </c>
      <c r="B418" s="10" t="s">
        <v>23</v>
      </c>
      <c r="C418" s="11" t="s">
        <v>15</v>
      </c>
      <c r="D418" s="10" t="s">
        <v>18</v>
      </c>
      <c r="E418" s="12">
        <v>41702</v>
      </c>
      <c r="F418" s="31">
        <v>340.95</v>
      </c>
      <c r="G418" s="13">
        <v>20</v>
      </c>
      <c r="H418" s="31">
        <f t="shared" si="8"/>
        <v>6819</v>
      </c>
      <c r="I418" s="19"/>
    </row>
    <row r="419" spans="1:9" x14ac:dyDescent="0.3">
      <c r="A419" s="9" t="s">
        <v>36</v>
      </c>
      <c r="B419" s="10" t="s">
        <v>27</v>
      </c>
      <c r="C419" s="11" t="s">
        <v>15</v>
      </c>
      <c r="D419" s="10" t="s">
        <v>18</v>
      </c>
      <c r="E419" s="12">
        <v>42180</v>
      </c>
      <c r="F419" s="31">
        <v>799.95</v>
      </c>
      <c r="G419" s="13">
        <v>17</v>
      </c>
      <c r="H419" s="31">
        <f t="shared" si="8"/>
        <v>13599.150000000001</v>
      </c>
      <c r="I419" s="19"/>
    </row>
    <row r="420" spans="1:9" x14ac:dyDescent="0.3">
      <c r="A420" s="17" t="s">
        <v>44</v>
      </c>
      <c r="B420" s="10" t="s">
        <v>25</v>
      </c>
      <c r="C420" s="11" t="s">
        <v>14</v>
      </c>
      <c r="D420" s="10" t="s">
        <v>18</v>
      </c>
      <c r="E420" s="12">
        <v>42351</v>
      </c>
      <c r="F420" s="31">
        <v>340.95</v>
      </c>
      <c r="G420" s="13">
        <v>11</v>
      </c>
      <c r="H420" s="31">
        <f t="shared" si="8"/>
        <v>3750.45</v>
      </c>
      <c r="I420" s="19"/>
    </row>
    <row r="421" spans="1:9" x14ac:dyDescent="0.3">
      <c r="A421" s="9" t="s">
        <v>0</v>
      </c>
      <c r="B421" s="10" t="s">
        <v>27</v>
      </c>
      <c r="C421" s="11" t="s">
        <v>14</v>
      </c>
      <c r="D421" s="10" t="s">
        <v>22</v>
      </c>
      <c r="E421" s="12">
        <v>41899</v>
      </c>
      <c r="F421" s="31">
        <v>799.95</v>
      </c>
      <c r="G421" s="13">
        <v>8</v>
      </c>
      <c r="H421" s="31">
        <f t="shared" si="8"/>
        <v>6399.6</v>
      </c>
      <c r="I421" s="19"/>
    </row>
    <row r="422" spans="1:9" x14ac:dyDescent="0.3">
      <c r="A422" s="17" t="s">
        <v>44</v>
      </c>
      <c r="B422" s="10" t="s">
        <v>26</v>
      </c>
      <c r="C422" s="11" t="s">
        <v>14</v>
      </c>
      <c r="D422" s="10" t="s">
        <v>20</v>
      </c>
      <c r="E422" s="12">
        <v>42244</v>
      </c>
      <c r="F422" s="31">
        <v>168.95</v>
      </c>
      <c r="G422" s="13">
        <v>12</v>
      </c>
      <c r="H422" s="31">
        <f t="shared" si="8"/>
        <v>2027.3999999999999</v>
      </c>
      <c r="I422" s="19"/>
    </row>
    <row r="423" spans="1:9" x14ac:dyDescent="0.3">
      <c r="A423" s="9" t="s">
        <v>42</v>
      </c>
      <c r="B423" s="10" t="s">
        <v>26</v>
      </c>
      <c r="C423" s="11" t="s">
        <v>15</v>
      </c>
      <c r="D423" s="10" t="s">
        <v>22</v>
      </c>
      <c r="E423" s="12">
        <v>41863</v>
      </c>
      <c r="F423" s="31">
        <v>168.95</v>
      </c>
      <c r="G423" s="13">
        <v>13</v>
      </c>
      <c r="H423" s="31">
        <f t="shared" si="8"/>
        <v>2196.35</v>
      </c>
      <c r="I423" s="19"/>
    </row>
    <row r="424" spans="1:9" x14ac:dyDescent="0.3">
      <c r="A424" s="17" t="s">
        <v>44</v>
      </c>
      <c r="B424" s="10" t="s">
        <v>23</v>
      </c>
      <c r="C424" s="11" t="s">
        <v>14</v>
      </c>
      <c r="D424" s="10" t="s">
        <v>18</v>
      </c>
      <c r="E424" s="12">
        <v>41966</v>
      </c>
      <c r="F424" s="31">
        <v>340.95</v>
      </c>
      <c r="G424" s="13">
        <v>14</v>
      </c>
      <c r="H424" s="31">
        <f t="shared" si="8"/>
        <v>4773.3</v>
      </c>
      <c r="I424" s="19"/>
    </row>
    <row r="425" spans="1:9" x14ac:dyDescent="0.3">
      <c r="A425" s="17" t="s">
        <v>37</v>
      </c>
      <c r="B425" s="10" t="s">
        <v>27</v>
      </c>
      <c r="C425" s="11" t="s">
        <v>14</v>
      </c>
      <c r="D425" s="10" t="s">
        <v>21</v>
      </c>
      <c r="E425" s="12">
        <v>41942</v>
      </c>
      <c r="F425" s="31">
        <v>799.95</v>
      </c>
      <c r="G425" s="13">
        <v>9</v>
      </c>
      <c r="H425" s="31">
        <f t="shared" si="8"/>
        <v>7199.55</v>
      </c>
      <c r="I425" s="19"/>
    </row>
    <row r="426" spans="1:9" x14ac:dyDescent="0.3">
      <c r="A426" s="9" t="s">
        <v>46</v>
      </c>
      <c r="B426" s="10" t="s">
        <v>25</v>
      </c>
      <c r="C426" s="11" t="s">
        <v>16</v>
      </c>
      <c r="D426" s="10" t="s">
        <v>18</v>
      </c>
      <c r="E426" s="12">
        <v>41654</v>
      </c>
      <c r="F426" s="31">
        <v>340.95</v>
      </c>
      <c r="G426" s="13">
        <v>7</v>
      </c>
      <c r="H426" s="31">
        <f t="shared" si="8"/>
        <v>2386.65</v>
      </c>
      <c r="I426" s="19"/>
    </row>
    <row r="427" spans="1:9" x14ac:dyDescent="0.3">
      <c r="A427" s="9" t="s">
        <v>38</v>
      </c>
      <c r="B427" s="10" t="s">
        <v>23</v>
      </c>
      <c r="C427" s="11" t="s">
        <v>15</v>
      </c>
      <c r="D427" s="10" t="s">
        <v>19</v>
      </c>
      <c r="E427" s="12">
        <v>42104</v>
      </c>
      <c r="F427" s="31">
        <v>340.95</v>
      </c>
      <c r="G427" s="13">
        <v>6</v>
      </c>
      <c r="H427" s="31">
        <f t="shared" si="8"/>
        <v>2045.6999999999998</v>
      </c>
      <c r="I427" s="19"/>
    </row>
    <row r="428" spans="1:9" x14ac:dyDescent="0.3">
      <c r="A428" s="9" t="s">
        <v>36</v>
      </c>
      <c r="B428" s="10" t="s">
        <v>25</v>
      </c>
      <c r="C428" s="11" t="s">
        <v>15</v>
      </c>
      <c r="D428" s="10" t="s">
        <v>21</v>
      </c>
      <c r="E428" s="12">
        <v>42059</v>
      </c>
      <c r="F428" s="31">
        <v>340.95</v>
      </c>
      <c r="G428" s="13">
        <v>11</v>
      </c>
      <c r="H428" s="31">
        <f t="shared" si="8"/>
        <v>3750.45</v>
      </c>
      <c r="I428" s="19"/>
    </row>
    <row r="429" spans="1:9" x14ac:dyDescent="0.3">
      <c r="A429" s="9" t="s">
        <v>38</v>
      </c>
      <c r="B429" s="10" t="s">
        <v>25</v>
      </c>
      <c r="C429" s="11" t="s">
        <v>16</v>
      </c>
      <c r="D429" s="10" t="s">
        <v>21</v>
      </c>
      <c r="E429" s="12">
        <v>42176</v>
      </c>
      <c r="F429" s="31">
        <v>340.95</v>
      </c>
      <c r="G429" s="13">
        <v>7</v>
      </c>
      <c r="H429" s="31">
        <f t="shared" si="8"/>
        <v>2386.65</v>
      </c>
      <c r="I429" s="19"/>
    </row>
    <row r="430" spans="1:9" x14ac:dyDescent="0.3">
      <c r="A430" s="9" t="s">
        <v>42</v>
      </c>
      <c r="B430" s="10" t="s">
        <v>23</v>
      </c>
      <c r="C430" s="11" t="s">
        <v>15</v>
      </c>
      <c r="D430" s="10" t="s">
        <v>19</v>
      </c>
      <c r="E430" s="12">
        <v>41993</v>
      </c>
      <c r="F430" s="31">
        <v>340.95</v>
      </c>
      <c r="G430" s="13">
        <v>11</v>
      </c>
      <c r="H430" s="31">
        <f t="shared" si="8"/>
        <v>3750.45</v>
      </c>
      <c r="I430" s="19"/>
    </row>
    <row r="431" spans="1:9" x14ac:dyDescent="0.3">
      <c r="A431" s="9" t="s">
        <v>38</v>
      </c>
      <c r="B431" s="10" t="s">
        <v>24</v>
      </c>
      <c r="C431" s="11" t="s">
        <v>15</v>
      </c>
      <c r="D431" s="10" t="s">
        <v>22</v>
      </c>
      <c r="E431" s="12">
        <v>42192</v>
      </c>
      <c r="F431" s="31">
        <v>79.989999999999995</v>
      </c>
      <c r="G431" s="13">
        <v>10</v>
      </c>
      <c r="H431" s="31">
        <f t="shared" si="8"/>
        <v>799.9</v>
      </c>
      <c r="I431" s="19"/>
    </row>
    <row r="432" spans="1:9" x14ac:dyDescent="0.3">
      <c r="A432" s="17" t="s">
        <v>44</v>
      </c>
      <c r="B432" s="10" t="s">
        <v>26</v>
      </c>
      <c r="C432" s="11" t="s">
        <v>14</v>
      </c>
      <c r="D432" s="10" t="s">
        <v>18</v>
      </c>
      <c r="E432" s="12">
        <v>41784</v>
      </c>
      <c r="F432" s="31">
        <v>168.95</v>
      </c>
      <c r="G432" s="13">
        <v>9</v>
      </c>
      <c r="H432" s="31">
        <f t="shared" si="8"/>
        <v>1520.55</v>
      </c>
      <c r="I432" s="19"/>
    </row>
    <row r="433" spans="1:9" x14ac:dyDescent="0.3">
      <c r="A433" s="17" t="s">
        <v>37</v>
      </c>
      <c r="B433" s="10" t="s">
        <v>24</v>
      </c>
      <c r="C433" s="11" t="s">
        <v>14</v>
      </c>
      <c r="D433" s="10" t="s">
        <v>22</v>
      </c>
      <c r="E433" s="12">
        <v>42082</v>
      </c>
      <c r="F433" s="31">
        <v>79.989999999999995</v>
      </c>
      <c r="G433" s="13">
        <v>9</v>
      </c>
      <c r="H433" s="31">
        <f t="shared" si="8"/>
        <v>719.91</v>
      </c>
      <c r="I433" s="19"/>
    </row>
    <row r="434" spans="1:9" x14ac:dyDescent="0.3">
      <c r="A434" s="9" t="s">
        <v>46</v>
      </c>
      <c r="B434" s="10" t="s">
        <v>27</v>
      </c>
      <c r="C434" s="11" t="s">
        <v>16</v>
      </c>
      <c r="D434" s="10" t="s">
        <v>21</v>
      </c>
      <c r="E434" s="12">
        <v>42014</v>
      </c>
      <c r="F434" s="31">
        <v>799.95</v>
      </c>
      <c r="G434" s="13">
        <v>8</v>
      </c>
      <c r="H434" s="31">
        <f t="shared" si="8"/>
        <v>6399.6</v>
      </c>
      <c r="I434" s="19"/>
    </row>
    <row r="435" spans="1:9" x14ac:dyDescent="0.3">
      <c r="A435" s="17" t="s">
        <v>43</v>
      </c>
      <c r="B435" s="10" t="s">
        <v>25</v>
      </c>
      <c r="C435" s="11" t="s">
        <v>16</v>
      </c>
      <c r="D435" s="10" t="s">
        <v>21</v>
      </c>
      <c r="E435" s="12">
        <v>41805</v>
      </c>
      <c r="F435" s="31">
        <v>340.95</v>
      </c>
      <c r="G435" s="13">
        <v>6</v>
      </c>
      <c r="H435" s="31">
        <f t="shared" si="8"/>
        <v>2045.6999999999998</v>
      </c>
      <c r="I435" s="19"/>
    </row>
    <row r="436" spans="1:9" x14ac:dyDescent="0.3">
      <c r="A436" s="9" t="s">
        <v>0</v>
      </c>
      <c r="B436" s="10" t="s">
        <v>23</v>
      </c>
      <c r="C436" s="11" t="s">
        <v>14</v>
      </c>
      <c r="D436" s="10" t="s">
        <v>20</v>
      </c>
      <c r="E436" s="12">
        <v>41912</v>
      </c>
      <c r="F436" s="31">
        <v>340.95</v>
      </c>
      <c r="G436" s="13">
        <v>1</v>
      </c>
      <c r="H436" s="31">
        <f t="shared" si="8"/>
        <v>340.95</v>
      </c>
      <c r="I436" s="19"/>
    </row>
    <row r="437" spans="1:9" x14ac:dyDescent="0.3">
      <c r="A437" s="9" t="s">
        <v>40</v>
      </c>
      <c r="B437" s="10" t="s">
        <v>26</v>
      </c>
      <c r="C437" s="11" t="s">
        <v>17</v>
      </c>
      <c r="D437" s="10" t="s">
        <v>19</v>
      </c>
      <c r="E437" s="12">
        <v>42014</v>
      </c>
      <c r="F437" s="31">
        <v>168.95</v>
      </c>
      <c r="G437" s="13">
        <v>6</v>
      </c>
      <c r="H437" s="31">
        <f t="shared" si="8"/>
        <v>1013.6999999999999</v>
      </c>
      <c r="I437" s="19"/>
    </row>
    <row r="438" spans="1:9" x14ac:dyDescent="0.3">
      <c r="A438" s="9" t="s">
        <v>36</v>
      </c>
      <c r="B438" s="10" t="s">
        <v>23</v>
      </c>
      <c r="C438" s="11" t="s">
        <v>15</v>
      </c>
      <c r="D438" s="10" t="s">
        <v>21</v>
      </c>
      <c r="E438" s="12">
        <v>42102</v>
      </c>
      <c r="F438" s="31">
        <v>340.95</v>
      </c>
      <c r="G438" s="13">
        <v>4</v>
      </c>
      <c r="H438" s="31">
        <f t="shared" si="8"/>
        <v>1363.8</v>
      </c>
      <c r="I438" s="19"/>
    </row>
    <row r="439" spans="1:9" x14ac:dyDescent="0.3">
      <c r="A439" s="17" t="s">
        <v>39</v>
      </c>
      <c r="B439" s="10" t="s">
        <v>24</v>
      </c>
      <c r="C439" s="11" t="s">
        <v>14</v>
      </c>
      <c r="D439" s="10" t="s">
        <v>22</v>
      </c>
      <c r="E439" s="12">
        <v>42200</v>
      </c>
      <c r="F439" s="31">
        <v>79.989999999999995</v>
      </c>
      <c r="G439" s="13">
        <v>12</v>
      </c>
      <c r="H439" s="31">
        <f t="shared" si="8"/>
        <v>959.87999999999988</v>
      </c>
      <c r="I439" s="19"/>
    </row>
    <row r="440" spans="1:9" x14ac:dyDescent="0.3">
      <c r="A440" s="9" t="s">
        <v>38</v>
      </c>
      <c r="B440" s="10" t="s">
        <v>25</v>
      </c>
      <c r="C440" s="11" t="s">
        <v>16</v>
      </c>
      <c r="D440" s="10" t="s">
        <v>22</v>
      </c>
      <c r="E440" s="12">
        <v>42330</v>
      </c>
      <c r="F440" s="31">
        <v>340.95</v>
      </c>
      <c r="G440" s="13">
        <v>7</v>
      </c>
      <c r="H440" s="31">
        <f t="shared" si="8"/>
        <v>2386.65</v>
      </c>
      <c r="I440" s="19"/>
    </row>
    <row r="441" spans="1:9" x14ac:dyDescent="0.3">
      <c r="A441" s="17" t="s">
        <v>37</v>
      </c>
      <c r="B441" s="10" t="s">
        <v>23</v>
      </c>
      <c r="C441" s="11" t="s">
        <v>14</v>
      </c>
      <c r="D441" s="10" t="s">
        <v>19</v>
      </c>
      <c r="E441" s="12">
        <v>41759</v>
      </c>
      <c r="F441" s="31">
        <v>340.95</v>
      </c>
      <c r="G441" s="13">
        <v>11</v>
      </c>
      <c r="H441" s="31">
        <f t="shared" si="8"/>
        <v>3750.45</v>
      </c>
      <c r="I441" s="19"/>
    </row>
    <row r="442" spans="1:9" x14ac:dyDescent="0.3">
      <c r="A442" s="9" t="s">
        <v>38</v>
      </c>
      <c r="B442" s="10" t="s">
        <v>26</v>
      </c>
      <c r="C442" s="11" t="s">
        <v>15</v>
      </c>
      <c r="D442" s="10" t="s">
        <v>21</v>
      </c>
      <c r="E442" s="12">
        <v>42354</v>
      </c>
      <c r="F442" s="31">
        <v>168.95</v>
      </c>
      <c r="G442" s="13">
        <v>4</v>
      </c>
      <c r="H442" s="31">
        <f t="shared" si="8"/>
        <v>675.8</v>
      </c>
      <c r="I442" s="19"/>
    </row>
    <row r="443" spans="1:9" x14ac:dyDescent="0.3">
      <c r="A443" s="17" t="s">
        <v>37</v>
      </c>
      <c r="B443" s="10" t="s">
        <v>24</v>
      </c>
      <c r="C443" s="11" t="s">
        <v>14</v>
      </c>
      <c r="D443" s="10" t="s">
        <v>20</v>
      </c>
      <c r="E443" s="12">
        <v>42151</v>
      </c>
      <c r="F443" s="31">
        <v>79.989999999999995</v>
      </c>
      <c r="G443" s="13">
        <v>2</v>
      </c>
      <c r="H443" s="31">
        <f t="shared" si="8"/>
        <v>159.97999999999999</v>
      </c>
      <c r="I443" s="19"/>
    </row>
    <row r="444" spans="1:9" x14ac:dyDescent="0.3">
      <c r="A444" s="9" t="s">
        <v>40</v>
      </c>
      <c r="B444" s="10" t="s">
        <v>23</v>
      </c>
      <c r="C444" s="11" t="s">
        <v>17</v>
      </c>
      <c r="D444" s="10" t="s">
        <v>21</v>
      </c>
      <c r="E444" s="12">
        <v>42301</v>
      </c>
      <c r="F444" s="31">
        <v>340.95</v>
      </c>
      <c r="G444" s="13">
        <v>6</v>
      </c>
      <c r="H444" s="31">
        <f t="shared" si="8"/>
        <v>2045.6999999999998</v>
      </c>
      <c r="I444" s="19"/>
    </row>
    <row r="445" spans="1:9" x14ac:dyDescent="0.3">
      <c r="A445" s="17" t="s">
        <v>41</v>
      </c>
      <c r="B445" s="10" t="s">
        <v>26</v>
      </c>
      <c r="C445" s="11" t="s">
        <v>17</v>
      </c>
      <c r="D445" s="10" t="s">
        <v>22</v>
      </c>
      <c r="E445" s="12">
        <v>42368</v>
      </c>
      <c r="F445" s="31">
        <v>168.95</v>
      </c>
      <c r="G445" s="13">
        <v>8</v>
      </c>
      <c r="H445" s="31">
        <f t="shared" si="8"/>
        <v>1351.6</v>
      </c>
      <c r="I445" s="19"/>
    </row>
    <row r="446" spans="1:9" x14ac:dyDescent="0.3">
      <c r="A446" s="17" t="s">
        <v>37</v>
      </c>
      <c r="B446" s="10" t="s">
        <v>27</v>
      </c>
      <c r="C446" s="11" t="s">
        <v>14</v>
      </c>
      <c r="D446" s="10" t="s">
        <v>18</v>
      </c>
      <c r="E446" s="12">
        <v>42096</v>
      </c>
      <c r="F446" s="31">
        <v>799.95</v>
      </c>
      <c r="G446" s="13">
        <v>12</v>
      </c>
      <c r="H446" s="31">
        <f t="shared" si="8"/>
        <v>9599.4000000000015</v>
      </c>
      <c r="I446" s="19"/>
    </row>
    <row r="447" spans="1:9" x14ac:dyDescent="0.3">
      <c r="A447" s="17" t="s">
        <v>44</v>
      </c>
      <c r="B447" s="10" t="s">
        <v>23</v>
      </c>
      <c r="C447" s="11" t="s">
        <v>14</v>
      </c>
      <c r="D447" s="10" t="s">
        <v>21</v>
      </c>
      <c r="E447" s="12">
        <v>41745</v>
      </c>
      <c r="F447" s="31">
        <v>340.95</v>
      </c>
      <c r="G447" s="13">
        <v>6</v>
      </c>
      <c r="H447" s="31">
        <f t="shared" si="8"/>
        <v>2045.6999999999998</v>
      </c>
      <c r="I447" s="19"/>
    </row>
    <row r="448" spans="1:9" x14ac:dyDescent="0.3">
      <c r="A448" s="17" t="s">
        <v>44</v>
      </c>
      <c r="B448" s="10" t="s">
        <v>23</v>
      </c>
      <c r="C448" s="11" t="s">
        <v>14</v>
      </c>
      <c r="D448" s="10" t="s">
        <v>20</v>
      </c>
      <c r="E448" s="12">
        <v>41738</v>
      </c>
      <c r="F448" s="31">
        <v>340.95</v>
      </c>
      <c r="G448" s="13">
        <v>2</v>
      </c>
      <c r="H448" s="31">
        <f t="shared" si="8"/>
        <v>681.9</v>
      </c>
      <c r="I448" s="19"/>
    </row>
    <row r="449" spans="1:9" x14ac:dyDescent="0.3">
      <c r="A449" s="9" t="s">
        <v>0</v>
      </c>
      <c r="B449" s="10" t="s">
        <v>23</v>
      </c>
      <c r="C449" s="11" t="s">
        <v>14</v>
      </c>
      <c r="D449" s="10" t="s">
        <v>21</v>
      </c>
      <c r="E449" s="12">
        <v>41870</v>
      </c>
      <c r="F449" s="31">
        <v>340.95</v>
      </c>
      <c r="G449" s="13">
        <v>3</v>
      </c>
      <c r="H449" s="31">
        <f t="shared" si="8"/>
        <v>1022.8499999999999</v>
      </c>
      <c r="I449" s="19"/>
    </row>
    <row r="450" spans="1:9" x14ac:dyDescent="0.3">
      <c r="A450" s="17" t="s">
        <v>45</v>
      </c>
      <c r="B450" s="10" t="s">
        <v>23</v>
      </c>
      <c r="C450" s="11" t="s">
        <v>15</v>
      </c>
      <c r="D450" s="10" t="s">
        <v>21</v>
      </c>
      <c r="E450" s="12">
        <v>41849</v>
      </c>
      <c r="F450" s="31">
        <v>340.95</v>
      </c>
      <c r="G450" s="13">
        <v>3</v>
      </c>
      <c r="H450" s="31">
        <f t="shared" ref="H450:H513" si="9">F450*G450</f>
        <v>1022.8499999999999</v>
      </c>
      <c r="I450" s="19"/>
    </row>
    <row r="451" spans="1:9" x14ac:dyDescent="0.3">
      <c r="A451" s="17" t="s">
        <v>41</v>
      </c>
      <c r="B451" s="10" t="s">
        <v>24</v>
      </c>
      <c r="C451" s="11" t="s">
        <v>17</v>
      </c>
      <c r="D451" s="10" t="s">
        <v>20</v>
      </c>
      <c r="E451" s="12">
        <v>42243</v>
      </c>
      <c r="F451" s="31">
        <v>79.989999999999995</v>
      </c>
      <c r="G451" s="13">
        <v>15</v>
      </c>
      <c r="H451" s="31">
        <f t="shared" si="9"/>
        <v>1199.8499999999999</v>
      </c>
      <c r="I451" s="19"/>
    </row>
    <row r="452" spans="1:9" x14ac:dyDescent="0.3">
      <c r="A452" s="17" t="s">
        <v>37</v>
      </c>
      <c r="B452" s="10" t="s">
        <v>23</v>
      </c>
      <c r="C452" s="11" t="s">
        <v>14</v>
      </c>
      <c r="D452" s="10" t="s">
        <v>22</v>
      </c>
      <c r="E452" s="12">
        <v>41663</v>
      </c>
      <c r="F452" s="31">
        <v>340.95</v>
      </c>
      <c r="G452" s="13">
        <v>8</v>
      </c>
      <c r="H452" s="31">
        <f t="shared" si="9"/>
        <v>2727.6</v>
      </c>
      <c r="I452" s="19"/>
    </row>
    <row r="453" spans="1:9" x14ac:dyDescent="0.3">
      <c r="A453" s="17" t="s">
        <v>45</v>
      </c>
      <c r="B453" s="10" t="s">
        <v>23</v>
      </c>
      <c r="C453" s="11" t="s">
        <v>15</v>
      </c>
      <c r="D453" s="10" t="s">
        <v>19</v>
      </c>
      <c r="E453" s="12">
        <v>41816</v>
      </c>
      <c r="F453" s="31">
        <v>340.95</v>
      </c>
      <c r="G453" s="13">
        <v>6</v>
      </c>
      <c r="H453" s="31">
        <f t="shared" si="9"/>
        <v>2045.6999999999998</v>
      </c>
      <c r="I453" s="19"/>
    </row>
    <row r="454" spans="1:9" x14ac:dyDescent="0.3">
      <c r="A454" s="17" t="s">
        <v>37</v>
      </c>
      <c r="B454" s="10" t="s">
        <v>25</v>
      </c>
      <c r="C454" s="11" t="s">
        <v>14</v>
      </c>
      <c r="D454" s="10" t="s">
        <v>18</v>
      </c>
      <c r="E454" s="12">
        <v>41692</v>
      </c>
      <c r="F454" s="31">
        <v>340.95</v>
      </c>
      <c r="G454" s="13">
        <v>18</v>
      </c>
      <c r="H454" s="31">
        <f t="shared" si="9"/>
        <v>6137.0999999999995</v>
      </c>
      <c r="I454" s="19"/>
    </row>
    <row r="455" spans="1:9" x14ac:dyDescent="0.3">
      <c r="A455" s="17" t="s">
        <v>41</v>
      </c>
      <c r="B455" s="10" t="s">
        <v>24</v>
      </c>
      <c r="C455" s="11" t="s">
        <v>17</v>
      </c>
      <c r="D455" s="10" t="s">
        <v>20</v>
      </c>
      <c r="E455" s="12">
        <v>42011</v>
      </c>
      <c r="F455" s="31">
        <v>79.989999999999995</v>
      </c>
      <c r="G455" s="13">
        <v>1</v>
      </c>
      <c r="H455" s="31">
        <f t="shared" si="9"/>
        <v>79.989999999999995</v>
      </c>
      <c r="I455" s="19"/>
    </row>
    <row r="456" spans="1:9" x14ac:dyDescent="0.3">
      <c r="A456" s="17" t="s">
        <v>39</v>
      </c>
      <c r="B456" s="10" t="s">
        <v>27</v>
      </c>
      <c r="C456" s="11" t="s">
        <v>14</v>
      </c>
      <c r="D456" s="10" t="s">
        <v>18</v>
      </c>
      <c r="E456" s="12">
        <v>41977</v>
      </c>
      <c r="F456" s="31">
        <v>799.95</v>
      </c>
      <c r="G456" s="13">
        <v>12</v>
      </c>
      <c r="H456" s="31">
        <f t="shared" si="9"/>
        <v>9599.4000000000015</v>
      </c>
      <c r="I456" s="19"/>
    </row>
    <row r="457" spans="1:9" x14ac:dyDescent="0.3">
      <c r="A457" s="17" t="s">
        <v>44</v>
      </c>
      <c r="B457" s="10" t="s">
        <v>26</v>
      </c>
      <c r="C457" s="11" t="s">
        <v>14</v>
      </c>
      <c r="D457" s="10" t="s">
        <v>18</v>
      </c>
      <c r="E457" s="12">
        <v>41800</v>
      </c>
      <c r="F457" s="31">
        <v>168.95</v>
      </c>
      <c r="G457" s="13">
        <v>18</v>
      </c>
      <c r="H457" s="31">
        <f t="shared" si="9"/>
        <v>3041.1</v>
      </c>
      <c r="I457" s="19"/>
    </row>
    <row r="458" spans="1:9" x14ac:dyDescent="0.3">
      <c r="A458" s="9" t="s">
        <v>46</v>
      </c>
      <c r="B458" s="10" t="s">
        <v>23</v>
      </c>
      <c r="C458" s="11" t="s">
        <v>16</v>
      </c>
      <c r="D458" s="10" t="s">
        <v>21</v>
      </c>
      <c r="E458" s="12">
        <v>42276</v>
      </c>
      <c r="F458" s="31">
        <v>340.95</v>
      </c>
      <c r="G458" s="13">
        <v>13</v>
      </c>
      <c r="H458" s="31">
        <f t="shared" si="9"/>
        <v>4432.3499999999995</v>
      </c>
      <c r="I458" s="19"/>
    </row>
    <row r="459" spans="1:9" x14ac:dyDescent="0.3">
      <c r="A459" s="9" t="s">
        <v>46</v>
      </c>
      <c r="B459" s="10" t="s">
        <v>26</v>
      </c>
      <c r="C459" s="11" t="s">
        <v>16</v>
      </c>
      <c r="D459" s="10" t="s">
        <v>19</v>
      </c>
      <c r="E459" s="12">
        <v>41941</v>
      </c>
      <c r="F459" s="31">
        <v>168.95</v>
      </c>
      <c r="G459" s="13">
        <v>12</v>
      </c>
      <c r="H459" s="31">
        <f t="shared" si="9"/>
        <v>2027.3999999999999</v>
      </c>
      <c r="I459" s="19"/>
    </row>
    <row r="460" spans="1:9" x14ac:dyDescent="0.3">
      <c r="A460" s="17" t="s">
        <v>39</v>
      </c>
      <c r="B460" s="10" t="s">
        <v>25</v>
      </c>
      <c r="C460" s="11" t="s">
        <v>14</v>
      </c>
      <c r="D460" s="10" t="s">
        <v>18</v>
      </c>
      <c r="E460" s="12">
        <v>41656</v>
      </c>
      <c r="F460" s="31">
        <v>340.95</v>
      </c>
      <c r="G460" s="13">
        <v>14</v>
      </c>
      <c r="H460" s="31">
        <f t="shared" si="9"/>
        <v>4773.3</v>
      </c>
      <c r="I460" s="19"/>
    </row>
    <row r="461" spans="1:9" x14ac:dyDescent="0.3">
      <c r="A461" s="9" t="s">
        <v>36</v>
      </c>
      <c r="B461" s="10" t="s">
        <v>27</v>
      </c>
      <c r="C461" s="11" t="s">
        <v>15</v>
      </c>
      <c r="D461" s="10" t="s">
        <v>21</v>
      </c>
      <c r="E461" s="12">
        <v>42314</v>
      </c>
      <c r="F461" s="31">
        <v>799.95</v>
      </c>
      <c r="G461" s="13">
        <v>2</v>
      </c>
      <c r="H461" s="31">
        <f t="shared" si="9"/>
        <v>1599.9</v>
      </c>
      <c r="I461" s="19"/>
    </row>
    <row r="462" spans="1:9" x14ac:dyDescent="0.3">
      <c r="A462" s="17" t="s">
        <v>41</v>
      </c>
      <c r="B462" s="10" t="s">
        <v>27</v>
      </c>
      <c r="C462" s="11" t="s">
        <v>17</v>
      </c>
      <c r="D462" s="10" t="s">
        <v>21</v>
      </c>
      <c r="E462" s="12">
        <v>42123</v>
      </c>
      <c r="F462" s="31">
        <v>799.95</v>
      </c>
      <c r="G462" s="13">
        <v>8</v>
      </c>
      <c r="H462" s="31">
        <f t="shared" si="9"/>
        <v>6399.6</v>
      </c>
      <c r="I462" s="19"/>
    </row>
    <row r="463" spans="1:9" x14ac:dyDescent="0.3">
      <c r="A463" s="17" t="s">
        <v>43</v>
      </c>
      <c r="B463" s="10" t="s">
        <v>25</v>
      </c>
      <c r="C463" s="11" t="s">
        <v>16</v>
      </c>
      <c r="D463" s="10" t="s">
        <v>21</v>
      </c>
      <c r="E463" s="12">
        <v>41808</v>
      </c>
      <c r="F463" s="31">
        <v>340.95</v>
      </c>
      <c r="G463" s="13">
        <v>10</v>
      </c>
      <c r="H463" s="31">
        <f t="shared" si="9"/>
        <v>3409.5</v>
      </c>
      <c r="I463" s="19"/>
    </row>
    <row r="464" spans="1:9" x14ac:dyDescent="0.3">
      <c r="A464" s="9" t="s">
        <v>0</v>
      </c>
      <c r="B464" s="10" t="s">
        <v>27</v>
      </c>
      <c r="C464" s="11" t="s">
        <v>14</v>
      </c>
      <c r="D464" s="10" t="s">
        <v>18</v>
      </c>
      <c r="E464" s="12">
        <v>41755</v>
      </c>
      <c r="F464" s="31">
        <v>799.95</v>
      </c>
      <c r="G464" s="13">
        <v>16</v>
      </c>
      <c r="H464" s="31">
        <f t="shared" si="9"/>
        <v>12799.2</v>
      </c>
      <c r="I464" s="19"/>
    </row>
    <row r="465" spans="1:9" x14ac:dyDescent="0.3">
      <c r="A465" s="17" t="s">
        <v>44</v>
      </c>
      <c r="B465" s="10" t="s">
        <v>27</v>
      </c>
      <c r="C465" s="11" t="s">
        <v>14</v>
      </c>
      <c r="D465" s="10" t="s">
        <v>20</v>
      </c>
      <c r="E465" s="12">
        <v>42088</v>
      </c>
      <c r="F465" s="31">
        <v>799.95</v>
      </c>
      <c r="G465" s="13">
        <v>10</v>
      </c>
      <c r="H465" s="31">
        <f t="shared" si="9"/>
        <v>7999.5</v>
      </c>
      <c r="I465" s="19"/>
    </row>
    <row r="466" spans="1:9" x14ac:dyDescent="0.3">
      <c r="A466" s="17" t="s">
        <v>37</v>
      </c>
      <c r="B466" s="10" t="s">
        <v>25</v>
      </c>
      <c r="C466" s="11" t="s">
        <v>14</v>
      </c>
      <c r="D466" s="10" t="s">
        <v>22</v>
      </c>
      <c r="E466" s="12">
        <v>41679</v>
      </c>
      <c r="F466" s="31">
        <v>340.95</v>
      </c>
      <c r="G466" s="13">
        <v>1</v>
      </c>
      <c r="H466" s="31">
        <f t="shared" si="9"/>
        <v>340.95</v>
      </c>
      <c r="I466" s="19"/>
    </row>
    <row r="467" spans="1:9" x14ac:dyDescent="0.3">
      <c r="A467" s="17" t="s">
        <v>37</v>
      </c>
      <c r="B467" s="10" t="s">
        <v>24</v>
      </c>
      <c r="C467" s="11" t="s">
        <v>14</v>
      </c>
      <c r="D467" s="10" t="s">
        <v>19</v>
      </c>
      <c r="E467" s="12">
        <v>41864</v>
      </c>
      <c r="F467" s="31">
        <v>79.989999999999995</v>
      </c>
      <c r="G467" s="13">
        <v>3</v>
      </c>
      <c r="H467" s="31">
        <f t="shared" si="9"/>
        <v>239.96999999999997</v>
      </c>
      <c r="I467" s="19"/>
    </row>
    <row r="468" spans="1:9" x14ac:dyDescent="0.3">
      <c r="A468" s="17" t="s">
        <v>37</v>
      </c>
      <c r="B468" s="10" t="s">
        <v>25</v>
      </c>
      <c r="C468" s="11" t="s">
        <v>14</v>
      </c>
      <c r="D468" s="10" t="s">
        <v>22</v>
      </c>
      <c r="E468" s="12">
        <v>41825</v>
      </c>
      <c r="F468" s="31">
        <v>340.95</v>
      </c>
      <c r="G468" s="13">
        <v>13</v>
      </c>
      <c r="H468" s="31">
        <f t="shared" si="9"/>
        <v>4432.3499999999995</v>
      </c>
      <c r="I468" s="19"/>
    </row>
    <row r="469" spans="1:9" x14ac:dyDescent="0.3">
      <c r="A469" s="17" t="s">
        <v>39</v>
      </c>
      <c r="B469" s="10" t="s">
        <v>25</v>
      </c>
      <c r="C469" s="11" t="s">
        <v>14</v>
      </c>
      <c r="D469" s="10" t="s">
        <v>19</v>
      </c>
      <c r="E469" s="12">
        <v>42151</v>
      </c>
      <c r="F469" s="31">
        <v>340.95</v>
      </c>
      <c r="G469" s="13">
        <v>5</v>
      </c>
      <c r="H469" s="31">
        <f t="shared" si="9"/>
        <v>1704.75</v>
      </c>
      <c r="I469" s="19"/>
    </row>
    <row r="470" spans="1:9" x14ac:dyDescent="0.3">
      <c r="A470" s="9" t="s">
        <v>0</v>
      </c>
      <c r="B470" s="10" t="s">
        <v>24</v>
      </c>
      <c r="C470" s="11" t="s">
        <v>14</v>
      </c>
      <c r="D470" s="10" t="s">
        <v>21</v>
      </c>
      <c r="E470" s="12">
        <v>42085</v>
      </c>
      <c r="F470" s="31">
        <v>79.989999999999995</v>
      </c>
      <c r="G470" s="13">
        <v>1</v>
      </c>
      <c r="H470" s="31">
        <f t="shared" si="9"/>
        <v>79.989999999999995</v>
      </c>
      <c r="I470" s="19"/>
    </row>
    <row r="471" spans="1:9" x14ac:dyDescent="0.3">
      <c r="A471" s="9" t="s">
        <v>36</v>
      </c>
      <c r="B471" s="10" t="s">
        <v>24</v>
      </c>
      <c r="C471" s="11" t="s">
        <v>15</v>
      </c>
      <c r="D471" s="10" t="s">
        <v>22</v>
      </c>
      <c r="E471" s="12">
        <v>41812</v>
      </c>
      <c r="F471" s="31">
        <v>79.989999999999995</v>
      </c>
      <c r="G471" s="13">
        <v>3</v>
      </c>
      <c r="H471" s="31">
        <f t="shared" si="9"/>
        <v>239.96999999999997</v>
      </c>
      <c r="I471" s="19"/>
    </row>
    <row r="472" spans="1:9" x14ac:dyDescent="0.3">
      <c r="A472" s="9" t="s">
        <v>36</v>
      </c>
      <c r="B472" s="10" t="s">
        <v>23</v>
      </c>
      <c r="C472" s="11" t="s">
        <v>15</v>
      </c>
      <c r="D472" s="10" t="s">
        <v>21</v>
      </c>
      <c r="E472" s="12">
        <v>42256</v>
      </c>
      <c r="F472" s="31">
        <v>340.95</v>
      </c>
      <c r="G472" s="13">
        <v>14</v>
      </c>
      <c r="H472" s="31">
        <f t="shared" si="9"/>
        <v>4773.3</v>
      </c>
      <c r="I472" s="19"/>
    </row>
    <row r="473" spans="1:9" x14ac:dyDescent="0.3">
      <c r="A473" s="17" t="s">
        <v>44</v>
      </c>
      <c r="B473" s="10" t="s">
        <v>26</v>
      </c>
      <c r="C473" s="11" t="s">
        <v>14</v>
      </c>
      <c r="D473" s="10" t="s">
        <v>21</v>
      </c>
      <c r="E473" s="12">
        <v>42130</v>
      </c>
      <c r="F473" s="31">
        <v>168.95</v>
      </c>
      <c r="G473" s="13">
        <v>7</v>
      </c>
      <c r="H473" s="31">
        <f t="shared" si="9"/>
        <v>1182.6499999999999</v>
      </c>
      <c r="I473" s="19"/>
    </row>
    <row r="474" spans="1:9" x14ac:dyDescent="0.3">
      <c r="A474" s="17" t="s">
        <v>37</v>
      </c>
      <c r="B474" s="10" t="s">
        <v>25</v>
      </c>
      <c r="C474" s="11" t="s">
        <v>14</v>
      </c>
      <c r="D474" s="10" t="s">
        <v>18</v>
      </c>
      <c r="E474" s="12">
        <v>42039</v>
      </c>
      <c r="F474" s="31">
        <v>340.95</v>
      </c>
      <c r="G474" s="13">
        <v>13</v>
      </c>
      <c r="H474" s="31">
        <f t="shared" si="9"/>
        <v>4432.3499999999995</v>
      </c>
      <c r="I474" s="19"/>
    </row>
    <row r="475" spans="1:9" x14ac:dyDescent="0.3">
      <c r="A475" s="9" t="s">
        <v>0</v>
      </c>
      <c r="B475" s="10" t="s">
        <v>23</v>
      </c>
      <c r="C475" s="11" t="s">
        <v>14</v>
      </c>
      <c r="D475" s="10" t="s">
        <v>20</v>
      </c>
      <c r="E475" s="12">
        <v>42270</v>
      </c>
      <c r="F475" s="31">
        <v>340.95</v>
      </c>
      <c r="G475" s="13">
        <v>6</v>
      </c>
      <c r="H475" s="31">
        <f t="shared" si="9"/>
        <v>2045.6999999999998</v>
      </c>
      <c r="I475" s="19"/>
    </row>
    <row r="476" spans="1:9" x14ac:dyDescent="0.3">
      <c r="A476" s="9" t="s">
        <v>46</v>
      </c>
      <c r="B476" s="10" t="s">
        <v>24</v>
      </c>
      <c r="C476" s="11" t="s">
        <v>16</v>
      </c>
      <c r="D476" s="10" t="s">
        <v>21</v>
      </c>
      <c r="E476" s="12">
        <v>41769</v>
      </c>
      <c r="F476" s="31">
        <v>79.989999999999995</v>
      </c>
      <c r="G476" s="13">
        <v>5</v>
      </c>
      <c r="H476" s="31">
        <f t="shared" si="9"/>
        <v>399.95</v>
      </c>
      <c r="I476" s="19"/>
    </row>
    <row r="477" spans="1:9" x14ac:dyDescent="0.3">
      <c r="A477" s="9" t="s">
        <v>36</v>
      </c>
      <c r="B477" s="10" t="s">
        <v>23</v>
      </c>
      <c r="C477" s="11" t="s">
        <v>15</v>
      </c>
      <c r="D477" s="10" t="s">
        <v>21</v>
      </c>
      <c r="E477" s="12">
        <v>42164</v>
      </c>
      <c r="F477" s="31">
        <v>340.95</v>
      </c>
      <c r="G477" s="13">
        <v>7</v>
      </c>
      <c r="H477" s="31">
        <f t="shared" si="9"/>
        <v>2386.65</v>
      </c>
      <c r="I477" s="19"/>
    </row>
    <row r="478" spans="1:9" x14ac:dyDescent="0.3">
      <c r="A478" s="17" t="s">
        <v>44</v>
      </c>
      <c r="B478" s="10" t="s">
        <v>26</v>
      </c>
      <c r="C478" s="11" t="s">
        <v>14</v>
      </c>
      <c r="D478" s="10" t="s">
        <v>20</v>
      </c>
      <c r="E478" s="12">
        <v>42270</v>
      </c>
      <c r="F478" s="31">
        <v>168.95</v>
      </c>
      <c r="G478" s="13">
        <v>6</v>
      </c>
      <c r="H478" s="31">
        <f t="shared" si="9"/>
        <v>1013.6999999999999</v>
      </c>
      <c r="I478" s="19"/>
    </row>
    <row r="479" spans="1:9" x14ac:dyDescent="0.3">
      <c r="A479" s="9" t="s">
        <v>40</v>
      </c>
      <c r="B479" s="10" t="s">
        <v>23</v>
      </c>
      <c r="C479" s="11" t="s">
        <v>17</v>
      </c>
      <c r="D479" s="10" t="s">
        <v>18</v>
      </c>
      <c r="E479" s="12">
        <v>42343</v>
      </c>
      <c r="F479" s="31">
        <v>340.95</v>
      </c>
      <c r="G479" s="13">
        <v>13</v>
      </c>
      <c r="H479" s="31">
        <f t="shared" si="9"/>
        <v>4432.3499999999995</v>
      </c>
      <c r="I479" s="19"/>
    </row>
    <row r="480" spans="1:9" x14ac:dyDescent="0.3">
      <c r="A480" s="9" t="s">
        <v>38</v>
      </c>
      <c r="B480" s="10" t="s">
        <v>25</v>
      </c>
      <c r="C480" s="11" t="s">
        <v>16</v>
      </c>
      <c r="D480" s="10" t="s">
        <v>20</v>
      </c>
      <c r="E480" s="12">
        <v>41742</v>
      </c>
      <c r="F480" s="31">
        <v>340.95</v>
      </c>
      <c r="G480" s="13">
        <v>8</v>
      </c>
      <c r="H480" s="31">
        <f t="shared" si="9"/>
        <v>2727.6</v>
      </c>
      <c r="I480" s="19"/>
    </row>
    <row r="481" spans="1:9" x14ac:dyDescent="0.3">
      <c r="A481" s="9" t="s">
        <v>40</v>
      </c>
      <c r="B481" s="10" t="s">
        <v>27</v>
      </c>
      <c r="C481" s="11" t="s">
        <v>17</v>
      </c>
      <c r="D481" s="10" t="s">
        <v>18</v>
      </c>
      <c r="E481" s="12">
        <v>41989</v>
      </c>
      <c r="F481" s="31">
        <v>799.95</v>
      </c>
      <c r="G481" s="13">
        <v>13</v>
      </c>
      <c r="H481" s="31">
        <f t="shared" si="9"/>
        <v>10399.35</v>
      </c>
      <c r="I481" s="19"/>
    </row>
    <row r="482" spans="1:9" x14ac:dyDescent="0.3">
      <c r="A482" s="17" t="s">
        <v>44</v>
      </c>
      <c r="B482" s="10" t="s">
        <v>27</v>
      </c>
      <c r="C482" s="11" t="s">
        <v>14</v>
      </c>
      <c r="D482" s="10" t="s">
        <v>20</v>
      </c>
      <c r="E482" s="12">
        <v>41767</v>
      </c>
      <c r="F482" s="31">
        <v>799.95</v>
      </c>
      <c r="G482" s="13">
        <v>6</v>
      </c>
      <c r="H482" s="31">
        <f t="shared" si="9"/>
        <v>4799.7000000000007</v>
      </c>
      <c r="I482" s="19"/>
    </row>
    <row r="483" spans="1:9" x14ac:dyDescent="0.3">
      <c r="A483" s="9" t="s">
        <v>42</v>
      </c>
      <c r="B483" s="10" t="s">
        <v>23</v>
      </c>
      <c r="C483" s="11" t="s">
        <v>15</v>
      </c>
      <c r="D483" s="10" t="s">
        <v>18</v>
      </c>
      <c r="E483" s="12">
        <v>41966</v>
      </c>
      <c r="F483" s="31">
        <v>340.95</v>
      </c>
      <c r="G483" s="13">
        <v>19</v>
      </c>
      <c r="H483" s="31">
        <f t="shared" si="9"/>
        <v>6478.05</v>
      </c>
      <c r="I483" s="19"/>
    </row>
    <row r="484" spans="1:9" x14ac:dyDescent="0.3">
      <c r="A484" s="9" t="s">
        <v>40</v>
      </c>
      <c r="B484" s="10" t="s">
        <v>23</v>
      </c>
      <c r="C484" s="11" t="s">
        <v>17</v>
      </c>
      <c r="D484" s="10" t="s">
        <v>19</v>
      </c>
      <c r="E484" s="12">
        <v>41877</v>
      </c>
      <c r="F484" s="31">
        <v>340.95</v>
      </c>
      <c r="G484" s="13">
        <v>8</v>
      </c>
      <c r="H484" s="31">
        <f t="shared" si="9"/>
        <v>2727.6</v>
      </c>
      <c r="I484" s="19"/>
    </row>
    <row r="485" spans="1:9" x14ac:dyDescent="0.3">
      <c r="A485" s="17" t="s">
        <v>45</v>
      </c>
      <c r="B485" s="10" t="s">
        <v>26</v>
      </c>
      <c r="C485" s="11" t="s">
        <v>15</v>
      </c>
      <c r="D485" s="10" t="s">
        <v>19</v>
      </c>
      <c r="E485" s="12">
        <v>42158</v>
      </c>
      <c r="F485" s="31">
        <v>168.95</v>
      </c>
      <c r="G485" s="13">
        <v>4</v>
      </c>
      <c r="H485" s="31">
        <f t="shared" si="9"/>
        <v>675.8</v>
      </c>
      <c r="I485" s="19"/>
    </row>
    <row r="486" spans="1:9" x14ac:dyDescent="0.3">
      <c r="A486" s="17" t="s">
        <v>45</v>
      </c>
      <c r="B486" s="10" t="s">
        <v>24</v>
      </c>
      <c r="C486" s="11" t="s">
        <v>15</v>
      </c>
      <c r="D486" s="10" t="s">
        <v>19</v>
      </c>
      <c r="E486" s="12">
        <v>42137</v>
      </c>
      <c r="F486" s="31">
        <v>79.989999999999995</v>
      </c>
      <c r="G486" s="13">
        <v>15</v>
      </c>
      <c r="H486" s="31">
        <f t="shared" si="9"/>
        <v>1199.8499999999999</v>
      </c>
      <c r="I486" s="19"/>
    </row>
    <row r="487" spans="1:9" x14ac:dyDescent="0.3">
      <c r="A487" s="9" t="s">
        <v>38</v>
      </c>
      <c r="B487" s="10" t="s">
        <v>26</v>
      </c>
      <c r="C487" s="11" t="s">
        <v>15</v>
      </c>
      <c r="D487" s="10" t="s">
        <v>21</v>
      </c>
      <c r="E487" s="12">
        <v>42021</v>
      </c>
      <c r="F487" s="31">
        <v>168.95</v>
      </c>
      <c r="G487" s="13">
        <v>15</v>
      </c>
      <c r="H487" s="31">
        <f t="shared" si="9"/>
        <v>2534.25</v>
      </c>
      <c r="I487" s="19"/>
    </row>
    <row r="488" spans="1:9" x14ac:dyDescent="0.3">
      <c r="A488" s="9" t="s">
        <v>36</v>
      </c>
      <c r="B488" s="10" t="s">
        <v>27</v>
      </c>
      <c r="C488" s="11" t="s">
        <v>15</v>
      </c>
      <c r="D488" s="10" t="s">
        <v>21</v>
      </c>
      <c r="E488" s="12">
        <v>42025</v>
      </c>
      <c r="F488" s="31">
        <v>799.95</v>
      </c>
      <c r="G488" s="13">
        <v>3</v>
      </c>
      <c r="H488" s="31">
        <f t="shared" si="9"/>
        <v>2399.8500000000004</v>
      </c>
      <c r="I488" s="19"/>
    </row>
    <row r="489" spans="1:9" x14ac:dyDescent="0.3">
      <c r="A489" s="9" t="s">
        <v>46</v>
      </c>
      <c r="B489" s="10" t="s">
        <v>25</v>
      </c>
      <c r="C489" s="11" t="s">
        <v>16</v>
      </c>
      <c r="D489" s="10" t="s">
        <v>22</v>
      </c>
      <c r="E489" s="12">
        <v>42112</v>
      </c>
      <c r="F489" s="31">
        <v>340.95</v>
      </c>
      <c r="G489" s="13">
        <v>12</v>
      </c>
      <c r="H489" s="31">
        <f t="shared" si="9"/>
        <v>4091.3999999999996</v>
      </c>
      <c r="I489" s="19"/>
    </row>
    <row r="490" spans="1:9" x14ac:dyDescent="0.3">
      <c r="A490" s="17" t="s">
        <v>45</v>
      </c>
      <c r="B490" s="10" t="s">
        <v>25</v>
      </c>
      <c r="C490" s="11" t="s">
        <v>15</v>
      </c>
      <c r="D490" s="10" t="s">
        <v>21</v>
      </c>
      <c r="E490" s="12">
        <v>41934</v>
      </c>
      <c r="F490" s="31">
        <v>340.95</v>
      </c>
      <c r="G490" s="13">
        <v>6</v>
      </c>
      <c r="H490" s="31">
        <f t="shared" si="9"/>
        <v>2045.6999999999998</v>
      </c>
      <c r="I490" s="19"/>
    </row>
    <row r="491" spans="1:9" x14ac:dyDescent="0.3">
      <c r="A491" s="17" t="s">
        <v>45</v>
      </c>
      <c r="B491" s="10" t="s">
        <v>26</v>
      </c>
      <c r="C491" s="11" t="s">
        <v>15</v>
      </c>
      <c r="D491" s="10" t="s">
        <v>22</v>
      </c>
      <c r="E491" s="12">
        <v>41983</v>
      </c>
      <c r="F491" s="31">
        <v>168.95</v>
      </c>
      <c r="G491" s="13">
        <v>15</v>
      </c>
      <c r="H491" s="31">
        <f t="shared" si="9"/>
        <v>2534.25</v>
      </c>
      <c r="I491" s="19"/>
    </row>
    <row r="492" spans="1:9" x14ac:dyDescent="0.3">
      <c r="A492" s="9" t="s">
        <v>42</v>
      </c>
      <c r="B492" s="10" t="s">
        <v>26</v>
      </c>
      <c r="C492" s="11" t="s">
        <v>15</v>
      </c>
      <c r="D492" s="10" t="s">
        <v>22</v>
      </c>
      <c r="E492" s="12">
        <v>41787</v>
      </c>
      <c r="F492" s="31">
        <v>168.95</v>
      </c>
      <c r="G492" s="13">
        <v>9</v>
      </c>
      <c r="H492" s="31">
        <f t="shared" si="9"/>
        <v>1520.55</v>
      </c>
      <c r="I492" s="19"/>
    </row>
    <row r="493" spans="1:9" x14ac:dyDescent="0.3">
      <c r="A493" s="17" t="s">
        <v>45</v>
      </c>
      <c r="B493" s="10" t="s">
        <v>25</v>
      </c>
      <c r="C493" s="11" t="s">
        <v>15</v>
      </c>
      <c r="D493" s="10" t="s">
        <v>18</v>
      </c>
      <c r="E493" s="12">
        <v>41787</v>
      </c>
      <c r="F493" s="31">
        <v>340.95</v>
      </c>
      <c r="G493" s="13">
        <v>14</v>
      </c>
      <c r="H493" s="31">
        <f t="shared" si="9"/>
        <v>4773.3</v>
      </c>
      <c r="I493" s="19"/>
    </row>
    <row r="494" spans="1:9" x14ac:dyDescent="0.3">
      <c r="A494" s="9" t="s">
        <v>40</v>
      </c>
      <c r="B494" s="10" t="s">
        <v>25</v>
      </c>
      <c r="C494" s="11" t="s">
        <v>17</v>
      </c>
      <c r="D494" s="10" t="s">
        <v>22</v>
      </c>
      <c r="E494" s="12">
        <v>42301</v>
      </c>
      <c r="F494" s="31">
        <v>340.95</v>
      </c>
      <c r="G494" s="13">
        <v>1</v>
      </c>
      <c r="H494" s="31">
        <f t="shared" si="9"/>
        <v>340.95</v>
      </c>
      <c r="I494" s="19"/>
    </row>
    <row r="495" spans="1:9" x14ac:dyDescent="0.3">
      <c r="A495" s="17" t="s">
        <v>43</v>
      </c>
      <c r="B495" s="10" t="s">
        <v>25</v>
      </c>
      <c r="C495" s="11" t="s">
        <v>16</v>
      </c>
      <c r="D495" s="10" t="s">
        <v>18</v>
      </c>
      <c r="E495" s="12">
        <v>42195</v>
      </c>
      <c r="F495" s="31">
        <v>340.95</v>
      </c>
      <c r="G495" s="13">
        <v>9</v>
      </c>
      <c r="H495" s="31">
        <f t="shared" si="9"/>
        <v>3068.5499999999997</v>
      </c>
      <c r="I495" s="19"/>
    </row>
    <row r="496" spans="1:9" x14ac:dyDescent="0.3">
      <c r="A496" s="17" t="s">
        <v>45</v>
      </c>
      <c r="B496" s="10" t="s">
        <v>23</v>
      </c>
      <c r="C496" s="11" t="s">
        <v>15</v>
      </c>
      <c r="D496" s="10" t="s">
        <v>21</v>
      </c>
      <c r="E496" s="12">
        <v>42011</v>
      </c>
      <c r="F496" s="31">
        <v>340.95</v>
      </c>
      <c r="G496" s="13">
        <v>2</v>
      </c>
      <c r="H496" s="31">
        <f t="shared" si="9"/>
        <v>681.9</v>
      </c>
      <c r="I496" s="19"/>
    </row>
    <row r="497" spans="1:9" x14ac:dyDescent="0.3">
      <c r="A497" s="17" t="s">
        <v>37</v>
      </c>
      <c r="B497" s="10" t="s">
        <v>27</v>
      </c>
      <c r="C497" s="11" t="s">
        <v>14</v>
      </c>
      <c r="D497" s="10" t="s">
        <v>21</v>
      </c>
      <c r="E497" s="12">
        <v>41649</v>
      </c>
      <c r="F497" s="31">
        <v>799.95</v>
      </c>
      <c r="G497" s="13">
        <v>13</v>
      </c>
      <c r="H497" s="31">
        <f t="shared" si="9"/>
        <v>10399.35</v>
      </c>
      <c r="I497" s="19"/>
    </row>
    <row r="498" spans="1:9" x14ac:dyDescent="0.3">
      <c r="A498" s="17" t="s">
        <v>41</v>
      </c>
      <c r="B498" s="10" t="s">
        <v>24</v>
      </c>
      <c r="C498" s="11" t="s">
        <v>17</v>
      </c>
      <c r="D498" s="10" t="s">
        <v>19</v>
      </c>
      <c r="E498" s="12">
        <v>41998</v>
      </c>
      <c r="F498" s="31">
        <v>79.989999999999995</v>
      </c>
      <c r="G498" s="13">
        <v>1</v>
      </c>
      <c r="H498" s="31">
        <f t="shared" si="9"/>
        <v>79.989999999999995</v>
      </c>
      <c r="I498" s="19"/>
    </row>
    <row r="499" spans="1:9" x14ac:dyDescent="0.3">
      <c r="A499" s="9" t="s">
        <v>36</v>
      </c>
      <c r="B499" s="10" t="s">
        <v>26</v>
      </c>
      <c r="C499" s="11" t="s">
        <v>15</v>
      </c>
      <c r="D499" s="10" t="s">
        <v>19</v>
      </c>
      <c r="E499" s="12">
        <v>42354</v>
      </c>
      <c r="F499" s="31">
        <v>168.95</v>
      </c>
      <c r="G499" s="13">
        <v>7</v>
      </c>
      <c r="H499" s="31">
        <f t="shared" si="9"/>
        <v>1182.6499999999999</v>
      </c>
      <c r="I499" s="19"/>
    </row>
    <row r="500" spans="1:9" x14ac:dyDescent="0.3">
      <c r="A500" s="17" t="s">
        <v>41</v>
      </c>
      <c r="B500" s="10" t="s">
        <v>23</v>
      </c>
      <c r="C500" s="11" t="s">
        <v>17</v>
      </c>
      <c r="D500" s="10" t="s">
        <v>19</v>
      </c>
      <c r="E500" s="12">
        <v>41833</v>
      </c>
      <c r="F500" s="31">
        <v>340.95</v>
      </c>
      <c r="G500" s="13">
        <v>14</v>
      </c>
      <c r="H500" s="31">
        <f t="shared" si="9"/>
        <v>4773.3</v>
      </c>
      <c r="I500" s="19"/>
    </row>
    <row r="501" spans="1:9" x14ac:dyDescent="0.3">
      <c r="A501" s="9" t="s">
        <v>42</v>
      </c>
      <c r="B501" s="10" t="s">
        <v>27</v>
      </c>
      <c r="C501" s="11" t="s">
        <v>15</v>
      </c>
      <c r="D501" s="10" t="s">
        <v>18</v>
      </c>
      <c r="E501" s="12">
        <v>41829</v>
      </c>
      <c r="F501" s="31">
        <v>799.95</v>
      </c>
      <c r="G501" s="13">
        <v>15</v>
      </c>
      <c r="H501" s="31">
        <f t="shared" si="9"/>
        <v>11999.25</v>
      </c>
      <c r="I501" s="19"/>
    </row>
    <row r="502" spans="1:9" x14ac:dyDescent="0.3">
      <c r="A502" s="9" t="s">
        <v>36</v>
      </c>
      <c r="B502" s="10" t="s">
        <v>26</v>
      </c>
      <c r="C502" s="11" t="s">
        <v>15</v>
      </c>
      <c r="D502" s="10" t="s">
        <v>21</v>
      </c>
      <c r="E502" s="12">
        <v>41972</v>
      </c>
      <c r="F502" s="31">
        <v>168.95</v>
      </c>
      <c r="G502" s="13">
        <v>3</v>
      </c>
      <c r="H502" s="31">
        <f t="shared" si="9"/>
        <v>506.84999999999997</v>
      </c>
      <c r="I502" s="19"/>
    </row>
    <row r="503" spans="1:9" x14ac:dyDescent="0.3">
      <c r="A503" s="17" t="s">
        <v>41</v>
      </c>
      <c r="B503" s="10" t="s">
        <v>24</v>
      </c>
      <c r="C503" s="11" t="s">
        <v>17</v>
      </c>
      <c r="D503" s="10" t="s">
        <v>22</v>
      </c>
      <c r="E503" s="12">
        <v>41906</v>
      </c>
      <c r="F503" s="31">
        <v>79.989999999999995</v>
      </c>
      <c r="G503" s="13">
        <v>12</v>
      </c>
      <c r="H503" s="31">
        <f t="shared" si="9"/>
        <v>959.87999999999988</v>
      </c>
      <c r="I503" s="19"/>
    </row>
    <row r="504" spans="1:9" x14ac:dyDescent="0.3">
      <c r="A504" s="9" t="s">
        <v>40</v>
      </c>
      <c r="B504" s="10" t="s">
        <v>23</v>
      </c>
      <c r="C504" s="11" t="s">
        <v>17</v>
      </c>
      <c r="D504" s="10" t="s">
        <v>22</v>
      </c>
      <c r="E504" s="12">
        <v>41937</v>
      </c>
      <c r="F504" s="31">
        <v>340.95</v>
      </c>
      <c r="G504" s="13">
        <v>8</v>
      </c>
      <c r="H504" s="31">
        <f t="shared" si="9"/>
        <v>2727.6</v>
      </c>
      <c r="I504" s="19"/>
    </row>
    <row r="505" spans="1:9" x14ac:dyDescent="0.3">
      <c r="A505" s="9" t="s">
        <v>42</v>
      </c>
      <c r="B505" s="10" t="s">
        <v>25</v>
      </c>
      <c r="C505" s="11" t="s">
        <v>15</v>
      </c>
      <c r="D505" s="10" t="s">
        <v>20</v>
      </c>
      <c r="E505" s="12">
        <v>41716</v>
      </c>
      <c r="F505" s="31">
        <v>340.95</v>
      </c>
      <c r="G505" s="13">
        <v>11</v>
      </c>
      <c r="H505" s="31">
        <f t="shared" si="9"/>
        <v>3750.45</v>
      </c>
      <c r="I505" s="19"/>
    </row>
    <row r="506" spans="1:9" x14ac:dyDescent="0.3">
      <c r="A506" s="17" t="s">
        <v>37</v>
      </c>
      <c r="B506" s="10" t="s">
        <v>25</v>
      </c>
      <c r="C506" s="11" t="s">
        <v>14</v>
      </c>
      <c r="D506" s="10" t="s">
        <v>18</v>
      </c>
      <c r="E506" s="12">
        <v>42046</v>
      </c>
      <c r="F506" s="31">
        <v>340.95</v>
      </c>
      <c r="G506" s="13">
        <v>11</v>
      </c>
      <c r="H506" s="31">
        <f t="shared" si="9"/>
        <v>3750.45</v>
      </c>
      <c r="I506" s="19"/>
    </row>
    <row r="507" spans="1:9" x14ac:dyDescent="0.3">
      <c r="A507" s="9" t="s">
        <v>0</v>
      </c>
      <c r="B507" s="10" t="s">
        <v>27</v>
      </c>
      <c r="C507" s="11" t="s">
        <v>14</v>
      </c>
      <c r="D507" s="10" t="s">
        <v>19</v>
      </c>
      <c r="E507" s="12">
        <v>41804</v>
      </c>
      <c r="F507" s="31">
        <v>799.95</v>
      </c>
      <c r="G507" s="13">
        <v>10</v>
      </c>
      <c r="H507" s="31">
        <f t="shared" si="9"/>
        <v>7999.5</v>
      </c>
      <c r="I507" s="19"/>
    </row>
    <row r="508" spans="1:9" x14ac:dyDescent="0.3">
      <c r="A508" s="9" t="s">
        <v>40</v>
      </c>
      <c r="B508" s="10" t="s">
        <v>27</v>
      </c>
      <c r="C508" s="11" t="s">
        <v>17</v>
      </c>
      <c r="D508" s="10" t="s">
        <v>22</v>
      </c>
      <c r="E508" s="12">
        <v>41773</v>
      </c>
      <c r="F508" s="31">
        <v>799.95</v>
      </c>
      <c r="G508" s="13">
        <v>10</v>
      </c>
      <c r="H508" s="31">
        <f t="shared" si="9"/>
        <v>7999.5</v>
      </c>
      <c r="I508" s="19"/>
    </row>
    <row r="509" spans="1:9" x14ac:dyDescent="0.3">
      <c r="A509" s="9" t="s">
        <v>46</v>
      </c>
      <c r="B509" s="10" t="s">
        <v>26</v>
      </c>
      <c r="C509" s="11" t="s">
        <v>16</v>
      </c>
      <c r="D509" s="10" t="s">
        <v>20</v>
      </c>
      <c r="E509" s="12">
        <v>42015</v>
      </c>
      <c r="F509" s="31">
        <v>168.95</v>
      </c>
      <c r="G509" s="13">
        <v>11</v>
      </c>
      <c r="H509" s="31">
        <f t="shared" si="9"/>
        <v>1858.4499999999998</v>
      </c>
      <c r="I509" s="19"/>
    </row>
    <row r="510" spans="1:9" x14ac:dyDescent="0.3">
      <c r="A510" s="17" t="s">
        <v>37</v>
      </c>
      <c r="B510" s="10" t="s">
        <v>25</v>
      </c>
      <c r="C510" s="11" t="s">
        <v>14</v>
      </c>
      <c r="D510" s="10" t="s">
        <v>22</v>
      </c>
      <c r="E510" s="12">
        <v>41962</v>
      </c>
      <c r="F510" s="31">
        <v>340.95</v>
      </c>
      <c r="G510" s="13">
        <v>10</v>
      </c>
      <c r="H510" s="31">
        <f t="shared" si="9"/>
        <v>3409.5</v>
      </c>
      <c r="I510" s="19"/>
    </row>
    <row r="511" spans="1:9" x14ac:dyDescent="0.3">
      <c r="A511" s="17" t="s">
        <v>44</v>
      </c>
      <c r="B511" s="10" t="s">
        <v>23</v>
      </c>
      <c r="C511" s="11" t="s">
        <v>14</v>
      </c>
      <c r="D511" s="10" t="s">
        <v>18</v>
      </c>
      <c r="E511" s="12">
        <v>41990</v>
      </c>
      <c r="F511" s="31">
        <v>340.95</v>
      </c>
      <c r="G511" s="13">
        <v>13</v>
      </c>
      <c r="H511" s="31">
        <f t="shared" si="9"/>
        <v>4432.3499999999995</v>
      </c>
      <c r="I511" s="19"/>
    </row>
    <row r="512" spans="1:9" x14ac:dyDescent="0.3">
      <c r="A512" s="17" t="s">
        <v>39</v>
      </c>
      <c r="B512" s="10" t="s">
        <v>27</v>
      </c>
      <c r="C512" s="11" t="s">
        <v>14</v>
      </c>
      <c r="D512" s="10" t="s">
        <v>19</v>
      </c>
      <c r="E512" s="12">
        <v>42144</v>
      </c>
      <c r="F512" s="31">
        <v>799.95</v>
      </c>
      <c r="G512" s="13">
        <v>13</v>
      </c>
      <c r="H512" s="31">
        <f t="shared" si="9"/>
        <v>10399.35</v>
      </c>
      <c r="I512" s="19"/>
    </row>
    <row r="513" spans="1:9" x14ac:dyDescent="0.3">
      <c r="A513" s="9" t="s">
        <v>42</v>
      </c>
      <c r="B513" s="10" t="s">
        <v>26</v>
      </c>
      <c r="C513" s="11" t="s">
        <v>15</v>
      </c>
      <c r="D513" s="10" t="s">
        <v>20</v>
      </c>
      <c r="E513" s="12">
        <v>41965</v>
      </c>
      <c r="F513" s="31">
        <v>168.95</v>
      </c>
      <c r="G513" s="13">
        <v>3</v>
      </c>
      <c r="H513" s="31">
        <f t="shared" si="9"/>
        <v>506.84999999999997</v>
      </c>
      <c r="I513" s="19"/>
    </row>
    <row r="514" spans="1:9" x14ac:dyDescent="0.3">
      <c r="A514" s="17" t="s">
        <v>37</v>
      </c>
      <c r="B514" s="10" t="s">
        <v>25</v>
      </c>
      <c r="C514" s="11" t="s">
        <v>14</v>
      </c>
      <c r="D514" s="10" t="s">
        <v>18</v>
      </c>
      <c r="E514" s="12">
        <v>41780</v>
      </c>
      <c r="F514" s="31">
        <v>340.95</v>
      </c>
      <c r="G514" s="13">
        <v>18</v>
      </c>
      <c r="H514" s="31">
        <f t="shared" ref="H514:H577" si="10">F514*G514</f>
        <v>6137.0999999999995</v>
      </c>
      <c r="I514" s="19"/>
    </row>
    <row r="515" spans="1:9" x14ac:dyDescent="0.3">
      <c r="A515" s="17" t="s">
        <v>44</v>
      </c>
      <c r="B515" s="10" t="s">
        <v>24</v>
      </c>
      <c r="C515" s="11" t="s">
        <v>14</v>
      </c>
      <c r="D515" s="10" t="s">
        <v>18</v>
      </c>
      <c r="E515" s="12">
        <v>42280</v>
      </c>
      <c r="F515" s="31">
        <v>79.989999999999995</v>
      </c>
      <c r="G515" s="13">
        <v>19</v>
      </c>
      <c r="H515" s="31">
        <f t="shared" si="10"/>
        <v>1519.81</v>
      </c>
      <c r="I515" s="19"/>
    </row>
    <row r="516" spans="1:9" x14ac:dyDescent="0.3">
      <c r="A516" s="9" t="s">
        <v>40</v>
      </c>
      <c r="B516" s="10" t="s">
        <v>26</v>
      </c>
      <c r="C516" s="11" t="s">
        <v>17</v>
      </c>
      <c r="D516" s="10" t="s">
        <v>18</v>
      </c>
      <c r="E516" s="12">
        <v>42018</v>
      </c>
      <c r="F516" s="31">
        <v>168.95</v>
      </c>
      <c r="G516" s="13">
        <v>13</v>
      </c>
      <c r="H516" s="31">
        <f t="shared" si="10"/>
        <v>2196.35</v>
      </c>
      <c r="I516" s="19"/>
    </row>
    <row r="517" spans="1:9" x14ac:dyDescent="0.3">
      <c r="A517" s="17" t="s">
        <v>43</v>
      </c>
      <c r="B517" s="10" t="s">
        <v>26</v>
      </c>
      <c r="C517" s="11" t="s">
        <v>16</v>
      </c>
      <c r="D517" s="10" t="s">
        <v>19</v>
      </c>
      <c r="E517" s="12">
        <v>42136</v>
      </c>
      <c r="F517" s="31">
        <v>168.95</v>
      </c>
      <c r="G517" s="13">
        <v>14</v>
      </c>
      <c r="H517" s="31">
        <f t="shared" si="10"/>
        <v>2365.2999999999997</v>
      </c>
      <c r="I517" s="19"/>
    </row>
    <row r="518" spans="1:9" x14ac:dyDescent="0.3">
      <c r="A518" s="9" t="s">
        <v>0</v>
      </c>
      <c r="B518" s="10" t="s">
        <v>27</v>
      </c>
      <c r="C518" s="11" t="s">
        <v>14</v>
      </c>
      <c r="D518" s="10" t="s">
        <v>18</v>
      </c>
      <c r="E518" s="12">
        <v>42283</v>
      </c>
      <c r="F518" s="31">
        <v>799.95</v>
      </c>
      <c r="G518" s="13">
        <v>14</v>
      </c>
      <c r="H518" s="31">
        <f t="shared" si="10"/>
        <v>11199.300000000001</v>
      </c>
      <c r="I518" s="19"/>
    </row>
    <row r="519" spans="1:9" x14ac:dyDescent="0.3">
      <c r="A519" s="9" t="s">
        <v>0</v>
      </c>
      <c r="B519" s="10" t="s">
        <v>25</v>
      </c>
      <c r="C519" s="11" t="s">
        <v>14</v>
      </c>
      <c r="D519" s="10" t="s">
        <v>18</v>
      </c>
      <c r="E519" s="12">
        <v>41676</v>
      </c>
      <c r="F519" s="31">
        <v>340.95</v>
      </c>
      <c r="G519" s="13">
        <v>11</v>
      </c>
      <c r="H519" s="31">
        <f t="shared" si="10"/>
        <v>3750.45</v>
      </c>
      <c r="I519" s="19"/>
    </row>
    <row r="520" spans="1:9" x14ac:dyDescent="0.3">
      <c r="A520" s="9" t="s">
        <v>0</v>
      </c>
      <c r="B520" s="10" t="s">
        <v>24</v>
      </c>
      <c r="C520" s="11" t="s">
        <v>14</v>
      </c>
      <c r="D520" s="10" t="s">
        <v>18</v>
      </c>
      <c r="E520" s="12">
        <v>41838</v>
      </c>
      <c r="F520" s="31">
        <v>79.989999999999995</v>
      </c>
      <c r="G520" s="13">
        <v>8</v>
      </c>
      <c r="H520" s="31">
        <f t="shared" si="10"/>
        <v>639.91999999999996</v>
      </c>
      <c r="I520" s="19"/>
    </row>
    <row r="521" spans="1:9" x14ac:dyDescent="0.3">
      <c r="A521" s="17" t="s">
        <v>39</v>
      </c>
      <c r="B521" s="10" t="s">
        <v>27</v>
      </c>
      <c r="C521" s="11" t="s">
        <v>14</v>
      </c>
      <c r="D521" s="10" t="s">
        <v>21</v>
      </c>
      <c r="E521" s="12">
        <v>42313</v>
      </c>
      <c r="F521" s="31">
        <v>799.95</v>
      </c>
      <c r="G521" s="13">
        <v>13</v>
      </c>
      <c r="H521" s="31">
        <f t="shared" si="10"/>
        <v>10399.35</v>
      </c>
      <c r="I521" s="19"/>
    </row>
    <row r="522" spans="1:9" x14ac:dyDescent="0.3">
      <c r="A522" s="17" t="s">
        <v>44</v>
      </c>
      <c r="B522" s="10" t="s">
        <v>26</v>
      </c>
      <c r="C522" s="11" t="s">
        <v>14</v>
      </c>
      <c r="D522" s="10" t="s">
        <v>20</v>
      </c>
      <c r="E522" s="12">
        <v>42277</v>
      </c>
      <c r="F522" s="31">
        <v>168.95</v>
      </c>
      <c r="G522" s="13">
        <v>10</v>
      </c>
      <c r="H522" s="31">
        <f t="shared" si="10"/>
        <v>1689.5</v>
      </c>
      <c r="I522" s="19"/>
    </row>
    <row r="523" spans="1:9" x14ac:dyDescent="0.3">
      <c r="A523" s="17" t="s">
        <v>44</v>
      </c>
      <c r="B523" s="10" t="s">
        <v>24</v>
      </c>
      <c r="C523" s="11" t="s">
        <v>14</v>
      </c>
      <c r="D523" s="10" t="s">
        <v>20</v>
      </c>
      <c r="E523" s="12">
        <v>42228</v>
      </c>
      <c r="F523" s="31">
        <v>79.989999999999995</v>
      </c>
      <c r="G523" s="13">
        <v>1</v>
      </c>
      <c r="H523" s="31">
        <f t="shared" si="10"/>
        <v>79.989999999999995</v>
      </c>
      <c r="I523" s="19"/>
    </row>
    <row r="524" spans="1:9" x14ac:dyDescent="0.3">
      <c r="A524" s="17" t="s">
        <v>44</v>
      </c>
      <c r="B524" s="10" t="s">
        <v>24</v>
      </c>
      <c r="C524" s="11" t="s">
        <v>14</v>
      </c>
      <c r="D524" s="10" t="s">
        <v>18</v>
      </c>
      <c r="E524" s="12">
        <v>42014</v>
      </c>
      <c r="F524" s="31">
        <v>79.989999999999995</v>
      </c>
      <c r="G524" s="13">
        <v>16</v>
      </c>
      <c r="H524" s="31">
        <f t="shared" si="10"/>
        <v>1279.8399999999999</v>
      </c>
      <c r="I524" s="19"/>
    </row>
    <row r="525" spans="1:9" x14ac:dyDescent="0.3">
      <c r="A525" s="17" t="s">
        <v>45</v>
      </c>
      <c r="B525" s="10" t="s">
        <v>27</v>
      </c>
      <c r="C525" s="11" t="s">
        <v>15</v>
      </c>
      <c r="D525" s="10" t="s">
        <v>18</v>
      </c>
      <c r="E525" s="12">
        <v>41815</v>
      </c>
      <c r="F525" s="31">
        <v>799.95</v>
      </c>
      <c r="G525" s="13">
        <v>19</v>
      </c>
      <c r="H525" s="31">
        <f t="shared" si="10"/>
        <v>15199.050000000001</v>
      </c>
      <c r="I525" s="19"/>
    </row>
    <row r="526" spans="1:9" x14ac:dyDescent="0.3">
      <c r="A526" s="17" t="s">
        <v>45</v>
      </c>
      <c r="B526" s="10" t="s">
        <v>25</v>
      </c>
      <c r="C526" s="11" t="s">
        <v>15</v>
      </c>
      <c r="D526" s="10" t="s">
        <v>18</v>
      </c>
      <c r="E526" s="12">
        <v>41832</v>
      </c>
      <c r="F526" s="31">
        <v>340.95</v>
      </c>
      <c r="G526" s="13">
        <v>9</v>
      </c>
      <c r="H526" s="31">
        <f t="shared" si="10"/>
        <v>3068.5499999999997</v>
      </c>
      <c r="I526" s="19"/>
    </row>
    <row r="527" spans="1:9" x14ac:dyDescent="0.3">
      <c r="A527" s="17" t="s">
        <v>44</v>
      </c>
      <c r="B527" s="10" t="s">
        <v>23</v>
      </c>
      <c r="C527" s="11" t="s">
        <v>14</v>
      </c>
      <c r="D527" s="10" t="s">
        <v>21</v>
      </c>
      <c r="E527" s="12">
        <v>41682</v>
      </c>
      <c r="F527" s="31">
        <v>340.95</v>
      </c>
      <c r="G527" s="13">
        <v>4</v>
      </c>
      <c r="H527" s="31">
        <f t="shared" si="10"/>
        <v>1363.8</v>
      </c>
      <c r="I527" s="19"/>
    </row>
    <row r="528" spans="1:9" x14ac:dyDescent="0.3">
      <c r="A528" s="9" t="s">
        <v>38</v>
      </c>
      <c r="B528" s="10" t="s">
        <v>26</v>
      </c>
      <c r="C528" s="11" t="s">
        <v>15</v>
      </c>
      <c r="D528" s="10" t="s">
        <v>22</v>
      </c>
      <c r="E528" s="12">
        <v>42309</v>
      </c>
      <c r="F528" s="31">
        <v>168.95</v>
      </c>
      <c r="G528" s="13">
        <v>13</v>
      </c>
      <c r="H528" s="31">
        <f t="shared" si="10"/>
        <v>2196.35</v>
      </c>
      <c r="I528" s="19"/>
    </row>
    <row r="529" spans="1:9" x14ac:dyDescent="0.3">
      <c r="A529" s="17" t="s">
        <v>41</v>
      </c>
      <c r="B529" s="10" t="s">
        <v>26</v>
      </c>
      <c r="C529" s="11" t="s">
        <v>17</v>
      </c>
      <c r="D529" s="10" t="s">
        <v>20</v>
      </c>
      <c r="E529" s="12">
        <v>41894</v>
      </c>
      <c r="F529" s="31">
        <v>168.95</v>
      </c>
      <c r="G529" s="13">
        <v>4</v>
      </c>
      <c r="H529" s="31">
        <f t="shared" si="10"/>
        <v>675.8</v>
      </c>
      <c r="I529" s="19"/>
    </row>
    <row r="530" spans="1:9" x14ac:dyDescent="0.3">
      <c r="A530" s="17" t="s">
        <v>37</v>
      </c>
      <c r="B530" s="10" t="s">
        <v>23</v>
      </c>
      <c r="C530" s="11" t="s">
        <v>14</v>
      </c>
      <c r="D530" s="10" t="s">
        <v>20</v>
      </c>
      <c r="E530" s="12">
        <v>41707</v>
      </c>
      <c r="F530" s="31">
        <v>340.95</v>
      </c>
      <c r="G530" s="13">
        <v>1</v>
      </c>
      <c r="H530" s="31">
        <f t="shared" si="10"/>
        <v>340.95</v>
      </c>
      <c r="I530" s="19"/>
    </row>
    <row r="531" spans="1:9" x14ac:dyDescent="0.3">
      <c r="A531" s="9" t="s">
        <v>46</v>
      </c>
      <c r="B531" s="10" t="s">
        <v>26</v>
      </c>
      <c r="C531" s="11" t="s">
        <v>16</v>
      </c>
      <c r="D531" s="10" t="s">
        <v>21</v>
      </c>
      <c r="E531" s="12">
        <v>41933</v>
      </c>
      <c r="F531" s="31">
        <v>168.95</v>
      </c>
      <c r="G531" s="13">
        <v>7</v>
      </c>
      <c r="H531" s="31">
        <f t="shared" si="10"/>
        <v>1182.6499999999999</v>
      </c>
      <c r="I531" s="19"/>
    </row>
    <row r="532" spans="1:9" x14ac:dyDescent="0.3">
      <c r="A532" s="17" t="s">
        <v>37</v>
      </c>
      <c r="B532" s="10" t="s">
        <v>24</v>
      </c>
      <c r="C532" s="11" t="s">
        <v>14</v>
      </c>
      <c r="D532" s="10" t="s">
        <v>22</v>
      </c>
      <c r="E532" s="12">
        <v>42186</v>
      </c>
      <c r="F532" s="31">
        <v>79.989999999999995</v>
      </c>
      <c r="G532" s="13">
        <v>8</v>
      </c>
      <c r="H532" s="31">
        <f t="shared" si="10"/>
        <v>639.91999999999996</v>
      </c>
      <c r="I532" s="19"/>
    </row>
    <row r="533" spans="1:9" x14ac:dyDescent="0.3">
      <c r="A533" s="9" t="s">
        <v>36</v>
      </c>
      <c r="B533" s="10" t="s">
        <v>24</v>
      </c>
      <c r="C533" s="11" t="s">
        <v>15</v>
      </c>
      <c r="D533" s="10" t="s">
        <v>19</v>
      </c>
      <c r="E533" s="12">
        <v>42136</v>
      </c>
      <c r="F533" s="31">
        <v>79.989999999999995</v>
      </c>
      <c r="G533" s="13">
        <v>10</v>
      </c>
      <c r="H533" s="31">
        <f t="shared" si="10"/>
        <v>799.9</v>
      </c>
      <c r="I533" s="19"/>
    </row>
    <row r="534" spans="1:9" x14ac:dyDescent="0.3">
      <c r="A534" s="17" t="s">
        <v>37</v>
      </c>
      <c r="B534" s="10" t="s">
        <v>23</v>
      </c>
      <c r="C534" s="11" t="s">
        <v>14</v>
      </c>
      <c r="D534" s="10" t="s">
        <v>22</v>
      </c>
      <c r="E534" s="12">
        <v>42213</v>
      </c>
      <c r="F534" s="31">
        <v>340.95</v>
      </c>
      <c r="G534" s="13">
        <v>14</v>
      </c>
      <c r="H534" s="31">
        <f t="shared" si="10"/>
        <v>4773.3</v>
      </c>
      <c r="I534" s="19"/>
    </row>
    <row r="535" spans="1:9" x14ac:dyDescent="0.3">
      <c r="A535" s="17" t="s">
        <v>45</v>
      </c>
      <c r="B535" s="10" t="s">
        <v>26</v>
      </c>
      <c r="C535" s="11" t="s">
        <v>15</v>
      </c>
      <c r="D535" s="10" t="s">
        <v>21</v>
      </c>
      <c r="E535" s="12">
        <v>42150</v>
      </c>
      <c r="F535" s="31">
        <v>168.95</v>
      </c>
      <c r="G535" s="13">
        <v>12</v>
      </c>
      <c r="H535" s="31">
        <f t="shared" si="10"/>
        <v>2027.3999999999999</v>
      </c>
      <c r="I535" s="19"/>
    </row>
    <row r="536" spans="1:9" x14ac:dyDescent="0.3">
      <c r="A536" s="9" t="s">
        <v>46</v>
      </c>
      <c r="B536" s="10" t="s">
        <v>24</v>
      </c>
      <c r="C536" s="11" t="s">
        <v>16</v>
      </c>
      <c r="D536" s="10" t="s">
        <v>22</v>
      </c>
      <c r="E536" s="12">
        <v>41880</v>
      </c>
      <c r="F536" s="31">
        <v>79.989999999999995</v>
      </c>
      <c r="G536" s="13">
        <v>5</v>
      </c>
      <c r="H536" s="31">
        <f t="shared" si="10"/>
        <v>399.95</v>
      </c>
      <c r="I536" s="19"/>
    </row>
    <row r="537" spans="1:9" x14ac:dyDescent="0.3">
      <c r="A537" s="9" t="s">
        <v>36</v>
      </c>
      <c r="B537" s="10" t="s">
        <v>25</v>
      </c>
      <c r="C537" s="11" t="s">
        <v>15</v>
      </c>
      <c r="D537" s="10" t="s">
        <v>18</v>
      </c>
      <c r="E537" s="12">
        <v>41645</v>
      </c>
      <c r="F537" s="31">
        <v>340.95</v>
      </c>
      <c r="G537" s="13">
        <v>9</v>
      </c>
      <c r="H537" s="31">
        <f t="shared" si="10"/>
        <v>3068.5499999999997</v>
      </c>
      <c r="I537" s="19"/>
    </row>
    <row r="538" spans="1:9" x14ac:dyDescent="0.3">
      <c r="A538" s="9" t="s">
        <v>40</v>
      </c>
      <c r="B538" s="10" t="s">
        <v>26</v>
      </c>
      <c r="C538" s="11" t="s">
        <v>17</v>
      </c>
      <c r="D538" s="10" t="s">
        <v>21</v>
      </c>
      <c r="E538" s="12">
        <v>41706</v>
      </c>
      <c r="F538" s="31">
        <v>168.95</v>
      </c>
      <c r="G538" s="13">
        <v>11</v>
      </c>
      <c r="H538" s="31">
        <f t="shared" si="10"/>
        <v>1858.4499999999998</v>
      </c>
      <c r="I538" s="19"/>
    </row>
    <row r="539" spans="1:9" x14ac:dyDescent="0.3">
      <c r="A539" s="9" t="s">
        <v>40</v>
      </c>
      <c r="B539" s="10" t="s">
        <v>25</v>
      </c>
      <c r="C539" s="11" t="s">
        <v>17</v>
      </c>
      <c r="D539" s="10" t="s">
        <v>19</v>
      </c>
      <c r="E539" s="12">
        <v>42319</v>
      </c>
      <c r="F539" s="31">
        <v>340.95</v>
      </c>
      <c r="G539" s="13">
        <v>10</v>
      </c>
      <c r="H539" s="31">
        <f t="shared" si="10"/>
        <v>3409.5</v>
      </c>
      <c r="I539" s="19"/>
    </row>
    <row r="540" spans="1:9" x14ac:dyDescent="0.3">
      <c r="A540" s="9" t="s">
        <v>38</v>
      </c>
      <c r="B540" s="10" t="s">
        <v>27</v>
      </c>
      <c r="C540" s="11" t="s">
        <v>15</v>
      </c>
      <c r="D540" s="10" t="s">
        <v>18</v>
      </c>
      <c r="E540" s="12">
        <v>42297</v>
      </c>
      <c r="F540" s="31">
        <v>799.95</v>
      </c>
      <c r="G540" s="13">
        <v>11</v>
      </c>
      <c r="H540" s="31">
        <f t="shared" si="10"/>
        <v>8799.4500000000007</v>
      </c>
      <c r="I540" s="19"/>
    </row>
    <row r="541" spans="1:9" x14ac:dyDescent="0.3">
      <c r="A541" s="17" t="s">
        <v>44</v>
      </c>
      <c r="B541" s="10" t="s">
        <v>23</v>
      </c>
      <c r="C541" s="11" t="s">
        <v>14</v>
      </c>
      <c r="D541" s="10" t="s">
        <v>20</v>
      </c>
      <c r="E541" s="12">
        <v>41725</v>
      </c>
      <c r="F541" s="31">
        <v>340.95</v>
      </c>
      <c r="G541" s="13">
        <v>6</v>
      </c>
      <c r="H541" s="31">
        <f t="shared" si="10"/>
        <v>2045.6999999999998</v>
      </c>
      <c r="I541" s="19"/>
    </row>
    <row r="542" spans="1:9" x14ac:dyDescent="0.3">
      <c r="A542" s="17" t="s">
        <v>45</v>
      </c>
      <c r="B542" s="10" t="s">
        <v>26</v>
      </c>
      <c r="C542" s="11" t="s">
        <v>15</v>
      </c>
      <c r="D542" s="10" t="s">
        <v>20</v>
      </c>
      <c r="E542" s="12">
        <v>42231</v>
      </c>
      <c r="F542" s="31">
        <v>168.95</v>
      </c>
      <c r="G542" s="13">
        <v>5</v>
      </c>
      <c r="H542" s="31">
        <f t="shared" si="10"/>
        <v>844.75</v>
      </c>
      <c r="I542" s="19"/>
    </row>
    <row r="543" spans="1:9" x14ac:dyDescent="0.3">
      <c r="A543" s="9" t="s">
        <v>38</v>
      </c>
      <c r="B543" s="10" t="s">
        <v>26</v>
      </c>
      <c r="C543" s="11" t="s">
        <v>15</v>
      </c>
      <c r="D543" s="10" t="s">
        <v>19</v>
      </c>
      <c r="E543" s="12">
        <v>42153</v>
      </c>
      <c r="F543" s="31">
        <v>168.95</v>
      </c>
      <c r="G543" s="13">
        <v>13</v>
      </c>
      <c r="H543" s="31">
        <f t="shared" si="10"/>
        <v>2196.35</v>
      </c>
      <c r="I543" s="19"/>
    </row>
    <row r="544" spans="1:9" x14ac:dyDescent="0.3">
      <c r="A544" s="9" t="s">
        <v>0</v>
      </c>
      <c r="B544" s="10" t="s">
        <v>24</v>
      </c>
      <c r="C544" s="11" t="s">
        <v>14</v>
      </c>
      <c r="D544" s="10" t="s">
        <v>22</v>
      </c>
      <c r="E544" s="12">
        <v>41754</v>
      </c>
      <c r="F544" s="31">
        <v>79.989999999999995</v>
      </c>
      <c r="G544" s="13">
        <v>7</v>
      </c>
      <c r="H544" s="31">
        <f t="shared" si="10"/>
        <v>559.92999999999995</v>
      </c>
      <c r="I544" s="19"/>
    </row>
    <row r="545" spans="1:9" x14ac:dyDescent="0.3">
      <c r="A545" s="9" t="s">
        <v>36</v>
      </c>
      <c r="B545" s="10" t="s">
        <v>23</v>
      </c>
      <c r="C545" s="11" t="s">
        <v>15</v>
      </c>
      <c r="D545" s="10" t="s">
        <v>20</v>
      </c>
      <c r="E545" s="12">
        <v>41894</v>
      </c>
      <c r="F545" s="31">
        <v>340.95</v>
      </c>
      <c r="G545" s="13">
        <v>10</v>
      </c>
      <c r="H545" s="31">
        <f t="shared" si="10"/>
        <v>3409.5</v>
      </c>
      <c r="I545" s="19"/>
    </row>
    <row r="546" spans="1:9" x14ac:dyDescent="0.3">
      <c r="A546" s="17" t="s">
        <v>37</v>
      </c>
      <c r="B546" s="10" t="s">
        <v>27</v>
      </c>
      <c r="C546" s="11" t="s">
        <v>14</v>
      </c>
      <c r="D546" s="10" t="s">
        <v>20</v>
      </c>
      <c r="E546" s="12">
        <v>41906</v>
      </c>
      <c r="F546" s="31">
        <v>799.95</v>
      </c>
      <c r="G546" s="13">
        <v>4</v>
      </c>
      <c r="H546" s="31">
        <f t="shared" si="10"/>
        <v>3199.8</v>
      </c>
      <c r="I546" s="19"/>
    </row>
    <row r="547" spans="1:9" x14ac:dyDescent="0.3">
      <c r="A547" s="17" t="s">
        <v>45</v>
      </c>
      <c r="B547" s="10" t="s">
        <v>26</v>
      </c>
      <c r="C547" s="11" t="s">
        <v>15</v>
      </c>
      <c r="D547" s="10" t="s">
        <v>22</v>
      </c>
      <c r="E547" s="12">
        <v>42090</v>
      </c>
      <c r="F547" s="31">
        <v>168.95</v>
      </c>
      <c r="G547" s="13">
        <v>9</v>
      </c>
      <c r="H547" s="31">
        <f t="shared" si="10"/>
        <v>1520.55</v>
      </c>
      <c r="I547" s="19"/>
    </row>
    <row r="548" spans="1:9" x14ac:dyDescent="0.3">
      <c r="A548" s="17" t="s">
        <v>45</v>
      </c>
      <c r="B548" s="10" t="s">
        <v>25</v>
      </c>
      <c r="C548" s="11" t="s">
        <v>15</v>
      </c>
      <c r="D548" s="10" t="s">
        <v>21</v>
      </c>
      <c r="E548" s="12">
        <v>41894</v>
      </c>
      <c r="F548" s="31">
        <v>340.95</v>
      </c>
      <c r="G548" s="13">
        <v>3</v>
      </c>
      <c r="H548" s="31">
        <f t="shared" si="10"/>
        <v>1022.8499999999999</v>
      </c>
      <c r="I548" s="19"/>
    </row>
    <row r="549" spans="1:9" x14ac:dyDescent="0.3">
      <c r="A549" s="17" t="s">
        <v>37</v>
      </c>
      <c r="B549" s="10" t="s">
        <v>27</v>
      </c>
      <c r="C549" s="11" t="s">
        <v>14</v>
      </c>
      <c r="D549" s="10" t="s">
        <v>19</v>
      </c>
      <c r="E549" s="12">
        <v>41681</v>
      </c>
      <c r="F549" s="31">
        <v>799.95</v>
      </c>
      <c r="G549" s="13">
        <v>11</v>
      </c>
      <c r="H549" s="31">
        <f t="shared" si="10"/>
        <v>8799.4500000000007</v>
      </c>
      <c r="I549" s="19"/>
    </row>
    <row r="550" spans="1:9" x14ac:dyDescent="0.3">
      <c r="A550" s="17" t="s">
        <v>45</v>
      </c>
      <c r="B550" s="10" t="s">
        <v>23</v>
      </c>
      <c r="C550" s="11" t="s">
        <v>15</v>
      </c>
      <c r="D550" s="10" t="s">
        <v>18</v>
      </c>
      <c r="E550" s="12">
        <v>41865</v>
      </c>
      <c r="F550" s="31">
        <v>340.95</v>
      </c>
      <c r="G550" s="13">
        <v>20</v>
      </c>
      <c r="H550" s="31">
        <f t="shared" si="10"/>
        <v>6819</v>
      </c>
      <c r="I550" s="19"/>
    </row>
    <row r="551" spans="1:9" x14ac:dyDescent="0.3">
      <c r="A551" s="17" t="s">
        <v>37</v>
      </c>
      <c r="B551" s="10" t="s">
        <v>25</v>
      </c>
      <c r="C551" s="11" t="s">
        <v>14</v>
      </c>
      <c r="D551" s="10" t="s">
        <v>22</v>
      </c>
      <c r="E551" s="12">
        <v>41679</v>
      </c>
      <c r="F551" s="31">
        <v>340.95</v>
      </c>
      <c r="G551" s="13">
        <v>3</v>
      </c>
      <c r="H551" s="31">
        <f t="shared" si="10"/>
        <v>1022.8499999999999</v>
      </c>
      <c r="I551" s="19"/>
    </row>
    <row r="552" spans="1:9" x14ac:dyDescent="0.3">
      <c r="A552" s="17" t="s">
        <v>37</v>
      </c>
      <c r="B552" s="10" t="s">
        <v>24</v>
      </c>
      <c r="C552" s="11" t="s">
        <v>14</v>
      </c>
      <c r="D552" s="10" t="s">
        <v>18</v>
      </c>
      <c r="E552" s="12">
        <v>41896</v>
      </c>
      <c r="F552" s="31">
        <v>79.989999999999995</v>
      </c>
      <c r="G552" s="13">
        <v>13</v>
      </c>
      <c r="H552" s="31">
        <f t="shared" si="10"/>
        <v>1039.8699999999999</v>
      </c>
      <c r="I552" s="19"/>
    </row>
    <row r="553" spans="1:9" x14ac:dyDescent="0.3">
      <c r="A553" s="9" t="s">
        <v>0</v>
      </c>
      <c r="B553" s="10" t="s">
        <v>27</v>
      </c>
      <c r="C553" s="11" t="s">
        <v>14</v>
      </c>
      <c r="D553" s="10" t="s">
        <v>21</v>
      </c>
      <c r="E553" s="12">
        <v>42172</v>
      </c>
      <c r="F553" s="31">
        <v>799.95</v>
      </c>
      <c r="G553" s="13">
        <v>1</v>
      </c>
      <c r="H553" s="31">
        <f t="shared" si="10"/>
        <v>799.95</v>
      </c>
      <c r="I553" s="19"/>
    </row>
    <row r="554" spans="1:9" x14ac:dyDescent="0.3">
      <c r="A554" s="9" t="s">
        <v>46</v>
      </c>
      <c r="B554" s="10" t="s">
        <v>24</v>
      </c>
      <c r="C554" s="11" t="s">
        <v>16</v>
      </c>
      <c r="D554" s="10" t="s">
        <v>19</v>
      </c>
      <c r="E554" s="12">
        <v>41908</v>
      </c>
      <c r="F554" s="31">
        <v>79.989999999999995</v>
      </c>
      <c r="G554" s="13">
        <v>3</v>
      </c>
      <c r="H554" s="31">
        <f t="shared" si="10"/>
        <v>239.96999999999997</v>
      </c>
      <c r="I554" s="19"/>
    </row>
    <row r="555" spans="1:9" x14ac:dyDescent="0.3">
      <c r="A555" s="17" t="s">
        <v>44</v>
      </c>
      <c r="B555" s="10" t="s">
        <v>23</v>
      </c>
      <c r="C555" s="11" t="s">
        <v>14</v>
      </c>
      <c r="D555" s="10" t="s">
        <v>21</v>
      </c>
      <c r="E555" s="12">
        <v>41896</v>
      </c>
      <c r="F555" s="31">
        <v>340.95</v>
      </c>
      <c r="G555" s="13">
        <v>8</v>
      </c>
      <c r="H555" s="31">
        <f t="shared" si="10"/>
        <v>2727.6</v>
      </c>
      <c r="I555" s="19"/>
    </row>
    <row r="556" spans="1:9" x14ac:dyDescent="0.3">
      <c r="A556" s="9" t="s">
        <v>38</v>
      </c>
      <c r="B556" s="10" t="s">
        <v>25</v>
      </c>
      <c r="C556" s="11" t="s">
        <v>16</v>
      </c>
      <c r="D556" s="10" t="s">
        <v>20</v>
      </c>
      <c r="E556" s="12">
        <v>42130</v>
      </c>
      <c r="F556" s="31">
        <v>340.95</v>
      </c>
      <c r="G556" s="13">
        <v>9</v>
      </c>
      <c r="H556" s="31">
        <f t="shared" si="10"/>
        <v>3068.5499999999997</v>
      </c>
      <c r="I556" s="19"/>
    </row>
    <row r="557" spans="1:9" x14ac:dyDescent="0.3">
      <c r="A557" s="17" t="s">
        <v>41</v>
      </c>
      <c r="B557" s="10" t="s">
        <v>23</v>
      </c>
      <c r="C557" s="11" t="s">
        <v>17</v>
      </c>
      <c r="D557" s="10" t="s">
        <v>18</v>
      </c>
      <c r="E557" s="12">
        <v>42006</v>
      </c>
      <c r="F557" s="31">
        <v>340.95</v>
      </c>
      <c r="G557" s="13">
        <v>12</v>
      </c>
      <c r="H557" s="31">
        <f t="shared" si="10"/>
        <v>4091.3999999999996</v>
      </c>
      <c r="I557" s="19"/>
    </row>
    <row r="558" spans="1:9" x14ac:dyDescent="0.3">
      <c r="A558" s="9" t="s">
        <v>46</v>
      </c>
      <c r="B558" s="10" t="s">
        <v>23</v>
      </c>
      <c r="C558" s="11" t="s">
        <v>16</v>
      </c>
      <c r="D558" s="10" t="s">
        <v>19</v>
      </c>
      <c r="E558" s="12">
        <v>41734</v>
      </c>
      <c r="F558" s="31">
        <v>340.95</v>
      </c>
      <c r="G558" s="13">
        <v>3</v>
      </c>
      <c r="H558" s="31">
        <f t="shared" si="10"/>
        <v>1022.8499999999999</v>
      </c>
      <c r="I558" s="19"/>
    </row>
    <row r="559" spans="1:9" x14ac:dyDescent="0.3">
      <c r="A559" s="9" t="s">
        <v>38</v>
      </c>
      <c r="B559" s="10" t="s">
        <v>25</v>
      </c>
      <c r="C559" s="11" t="s">
        <v>16</v>
      </c>
      <c r="D559" s="10" t="s">
        <v>19</v>
      </c>
      <c r="E559" s="12">
        <v>42006</v>
      </c>
      <c r="F559" s="31">
        <v>340.95</v>
      </c>
      <c r="G559" s="13">
        <v>4</v>
      </c>
      <c r="H559" s="31">
        <f t="shared" si="10"/>
        <v>1363.8</v>
      </c>
      <c r="I559" s="19"/>
    </row>
    <row r="560" spans="1:9" x14ac:dyDescent="0.3">
      <c r="A560" s="17" t="s">
        <v>45</v>
      </c>
      <c r="B560" s="10" t="s">
        <v>24</v>
      </c>
      <c r="C560" s="11" t="s">
        <v>15</v>
      </c>
      <c r="D560" s="10" t="s">
        <v>19</v>
      </c>
      <c r="E560" s="12">
        <v>42042</v>
      </c>
      <c r="F560" s="31">
        <v>79.989999999999995</v>
      </c>
      <c r="G560" s="13">
        <v>1</v>
      </c>
      <c r="H560" s="31">
        <f t="shared" si="10"/>
        <v>79.989999999999995</v>
      </c>
      <c r="I560" s="19"/>
    </row>
    <row r="561" spans="1:9" x14ac:dyDescent="0.3">
      <c r="A561" s="9" t="s">
        <v>0</v>
      </c>
      <c r="B561" s="10" t="s">
        <v>27</v>
      </c>
      <c r="C561" s="11" t="s">
        <v>14</v>
      </c>
      <c r="D561" s="10" t="s">
        <v>18</v>
      </c>
      <c r="E561" s="12">
        <v>42168</v>
      </c>
      <c r="F561" s="31">
        <v>799.95</v>
      </c>
      <c r="G561" s="13">
        <v>11</v>
      </c>
      <c r="H561" s="31">
        <f t="shared" si="10"/>
        <v>8799.4500000000007</v>
      </c>
      <c r="I561" s="19"/>
    </row>
    <row r="562" spans="1:9" x14ac:dyDescent="0.3">
      <c r="A562" s="17" t="s">
        <v>41</v>
      </c>
      <c r="B562" s="10" t="s">
        <v>24</v>
      </c>
      <c r="C562" s="11" t="s">
        <v>17</v>
      </c>
      <c r="D562" s="10" t="s">
        <v>22</v>
      </c>
      <c r="E562" s="12">
        <v>42264</v>
      </c>
      <c r="F562" s="31">
        <v>79.989999999999995</v>
      </c>
      <c r="G562" s="13">
        <v>1</v>
      </c>
      <c r="H562" s="31">
        <f t="shared" si="10"/>
        <v>79.989999999999995</v>
      </c>
      <c r="I562" s="19"/>
    </row>
    <row r="563" spans="1:9" x14ac:dyDescent="0.3">
      <c r="A563" s="9" t="s">
        <v>46</v>
      </c>
      <c r="B563" s="10" t="s">
        <v>26</v>
      </c>
      <c r="C563" s="11" t="s">
        <v>16</v>
      </c>
      <c r="D563" s="10" t="s">
        <v>20</v>
      </c>
      <c r="E563" s="12">
        <v>42221</v>
      </c>
      <c r="F563" s="31">
        <v>168.95</v>
      </c>
      <c r="G563" s="13">
        <v>5</v>
      </c>
      <c r="H563" s="31">
        <f t="shared" si="10"/>
        <v>844.75</v>
      </c>
      <c r="I563" s="19"/>
    </row>
    <row r="564" spans="1:9" x14ac:dyDescent="0.3">
      <c r="A564" s="9" t="s">
        <v>42</v>
      </c>
      <c r="B564" s="10" t="s">
        <v>25</v>
      </c>
      <c r="C564" s="11" t="s">
        <v>15</v>
      </c>
      <c r="D564" s="10" t="s">
        <v>20</v>
      </c>
      <c r="E564" s="12">
        <v>41886</v>
      </c>
      <c r="F564" s="31">
        <v>340.95</v>
      </c>
      <c r="G564" s="13">
        <v>9</v>
      </c>
      <c r="H564" s="31">
        <f t="shared" si="10"/>
        <v>3068.5499999999997</v>
      </c>
      <c r="I564" s="19"/>
    </row>
    <row r="565" spans="1:9" x14ac:dyDescent="0.3">
      <c r="A565" s="9" t="s">
        <v>38</v>
      </c>
      <c r="B565" s="10" t="s">
        <v>25</v>
      </c>
      <c r="C565" s="11" t="s">
        <v>16</v>
      </c>
      <c r="D565" s="10" t="s">
        <v>20</v>
      </c>
      <c r="E565" s="12">
        <v>41940</v>
      </c>
      <c r="F565" s="31">
        <v>340.95</v>
      </c>
      <c r="G565" s="13">
        <v>5</v>
      </c>
      <c r="H565" s="31">
        <f t="shared" si="10"/>
        <v>1704.75</v>
      </c>
      <c r="I565" s="19"/>
    </row>
    <row r="566" spans="1:9" x14ac:dyDescent="0.3">
      <c r="A566" s="9" t="s">
        <v>36</v>
      </c>
      <c r="B566" s="10" t="s">
        <v>23</v>
      </c>
      <c r="C566" s="11" t="s">
        <v>15</v>
      </c>
      <c r="D566" s="10" t="s">
        <v>22</v>
      </c>
      <c r="E566" s="12">
        <v>42136</v>
      </c>
      <c r="F566" s="31">
        <v>340.95</v>
      </c>
      <c r="G566" s="13">
        <v>5</v>
      </c>
      <c r="H566" s="31">
        <f t="shared" si="10"/>
        <v>1704.75</v>
      </c>
      <c r="I566" s="19"/>
    </row>
    <row r="567" spans="1:9" x14ac:dyDescent="0.3">
      <c r="A567" s="17" t="s">
        <v>37</v>
      </c>
      <c r="B567" s="10" t="s">
        <v>27</v>
      </c>
      <c r="C567" s="11" t="s">
        <v>14</v>
      </c>
      <c r="D567" s="10" t="s">
        <v>18</v>
      </c>
      <c r="E567" s="12">
        <v>41693</v>
      </c>
      <c r="F567" s="31">
        <v>799.95</v>
      </c>
      <c r="G567" s="13">
        <v>17</v>
      </c>
      <c r="H567" s="31">
        <f t="shared" si="10"/>
        <v>13599.150000000001</v>
      </c>
      <c r="I567" s="19"/>
    </row>
    <row r="568" spans="1:9" x14ac:dyDescent="0.3">
      <c r="A568" s="9" t="s">
        <v>46</v>
      </c>
      <c r="B568" s="10" t="s">
        <v>27</v>
      </c>
      <c r="C568" s="11" t="s">
        <v>16</v>
      </c>
      <c r="D568" s="10" t="s">
        <v>20</v>
      </c>
      <c r="E568" s="12">
        <v>42155</v>
      </c>
      <c r="F568" s="31">
        <v>799.95</v>
      </c>
      <c r="G568" s="13">
        <v>12</v>
      </c>
      <c r="H568" s="31">
        <f t="shared" si="10"/>
        <v>9599.4000000000015</v>
      </c>
      <c r="I568" s="19"/>
    </row>
    <row r="569" spans="1:9" x14ac:dyDescent="0.3">
      <c r="A569" s="9" t="s">
        <v>42</v>
      </c>
      <c r="B569" s="10" t="s">
        <v>27</v>
      </c>
      <c r="C569" s="11" t="s">
        <v>15</v>
      </c>
      <c r="D569" s="10" t="s">
        <v>18</v>
      </c>
      <c r="E569" s="12">
        <v>41968</v>
      </c>
      <c r="F569" s="31">
        <v>799.95</v>
      </c>
      <c r="G569" s="13">
        <v>14</v>
      </c>
      <c r="H569" s="31">
        <f t="shared" si="10"/>
        <v>11199.300000000001</v>
      </c>
      <c r="I569" s="19"/>
    </row>
    <row r="570" spans="1:9" x14ac:dyDescent="0.3">
      <c r="A570" s="17" t="s">
        <v>37</v>
      </c>
      <c r="B570" s="10" t="s">
        <v>26</v>
      </c>
      <c r="C570" s="11" t="s">
        <v>14</v>
      </c>
      <c r="D570" s="10" t="s">
        <v>18</v>
      </c>
      <c r="E570" s="12">
        <v>41850</v>
      </c>
      <c r="F570" s="31">
        <v>168.95</v>
      </c>
      <c r="G570" s="13">
        <v>12</v>
      </c>
      <c r="H570" s="31">
        <f t="shared" si="10"/>
        <v>2027.3999999999999</v>
      </c>
      <c r="I570" s="19"/>
    </row>
    <row r="571" spans="1:9" x14ac:dyDescent="0.3">
      <c r="A571" s="9" t="s">
        <v>42</v>
      </c>
      <c r="B571" s="10" t="s">
        <v>26</v>
      </c>
      <c r="C571" s="11" t="s">
        <v>15</v>
      </c>
      <c r="D571" s="10" t="s">
        <v>19</v>
      </c>
      <c r="E571" s="12">
        <v>41742</v>
      </c>
      <c r="F571" s="31">
        <v>168.95</v>
      </c>
      <c r="G571" s="13">
        <v>10</v>
      </c>
      <c r="H571" s="31">
        <f t="shared" si="10"/>
        <v>1689.5</v>
      </c>
      <c r="I571" s="19"/>
    </row>
    <row r="572" spans="1:9" x14ac:dyDescent="0.3">
      <c r="A572" s="17" t="s">
        <v>37</v>
      </c>
      <c r="B572" s="10" t="s">
        <v>26</v>
      </c>
      <c r="C572" s="11" t="s">
        <v>14</v>
      </c>
      <c r="D572" s="10" t="s">
        <v>22</v>
      </c>
      <c r="E572" s="12">
        <v>41656</v>
      </c>
      <c r="F572" s="31">
        <v>168.95</v>
      </c>
      <c r="G572" s="13">
        <v>10</v>
      </c>
      <c r="H572" s="31">
        <f t="shared" si="10"/>
        <v>1689.5</v>
      </c>
      <c r="I572" s="19"/>
    </row>
    <row r="573" spans="1:9" x14ac:dyDescent="0.3">
      <c r="A573" s="17" t="s">
        <v>45</v>
      </c>
      <c r="B573" s="10" t="s">
        <v>27</v>
      </c>
      <c r="C573" s="11" t="s">
        <v>15</v>
      </c>
      <c r="D573" s="10" t="s">
        <v>21</v>
      </c>
      <c r="E573" s="12">
        <v>41858</v>
      </c>
      <c r="F573" s="31">
        <v>799.95</v>
      </c>
      <c r="G573" s="13">
        <v>8</v>
      </c>
      <c r="H573" s="31">
        <f t="shared" si="10"/>
        <v>6399.6</v>
      </c>
      <c r="I573" s="19"/>
    </row>
    <row r="574" spans="1:9" x14ac:dyDescent="0.3">
      <c r="A574" s="17" t="s">
        <v>45</v>
      </c>
      <c r="B574" s="10" t="s">
        <v>26</v>
      </c>
      <c r="C574" s="11" t="s">
        <v>15</v>
      </c>
      <c r="D574" s="10" t="s">
        <v>22</v>
      </c>
      <c r="E574" s="12">
        <v>42012</v>
      </c>
      <c r="F574" s="31">
        <v>168.95</v>
      </c>
      <c r="G574" s="13">
        <v>4</v>
      </c>
      <c r="H574" s="31">
        <f t="shared" si="10"/>
        <v>675.8</v>
      </c>
      <c r="I574" s="19"/>
    </row>
    <row r="575" spans="1:9" x14ac:dyDescent="0.3">
      <c r="A575" s="17" t="s">
        <v>43</v>
      </c>
      <c r="B575" s="10" t="s">
        <v>23</v>
      </c>
      <c r="C575" s="11" t="s">
        <v>16</v>
      </c>
      <c r="D575" s="10" t="s">
        <v>20</v>
      </c>
      <c r="E575" s="12">
        <v>42018</v>
      </c>
      <c r="F575" s="31">
        <v>340.95</v>
      </c>
      <c r="G575" s="13">
        <v>15</v>
      </c>
      <c r="H575" s="31">
        <f t="shared" si="10"/>
        <v>5114.25</v>
      </c>
      <c r="I575" s="19"/>
    </row>
    <row r="576" spans="1:9" x14ac:dyDescent="0.3">
      <c r="A576" s="9" t="s">
        <v>38</v>
      </c>
      <c r="B576" s="10" t="s">
        <v>27</v>
      </c>
      <c r="C576" s="11" t="s">
        <v>15</v>
      </c>
      <c r="D576" s="10" t="s">
        <v>18</v>
      </c>
      <c r="E576" s="12">
        <v>42179</v>
      </c>
      <c r="F576" s="31">
        <v>799.95</v>
      </c>
      <c r="G576" s="13">
        <v>19</v>
      </c>
      <c r="H576" s="31">
        <f t="shared" si="10"/>
        <v>15199.050000000001</v>
      </c>
      <c r="I576" s="19"/>
    </row>
    <row r="577" spans="1:9" x14ac:dyDescent="0.3">
      <c r="A577" s="9" t="s">
        <v>0</v>
      </c>
      <c r="B577" s="10" t="s">
        <v>24</v>
      </c>
      <c r="C577" s="11" t="s">
        <v>14</v>
      </c>
      <c r="D577" s="10" t="s">
        <v>20</v>
      </c>
      <c r="E577" s="12">
        <v>42157</v>
      </c>
      <c r="F577" s="31">
        <v>79.989999999999995</v>
      </c>
      <c r="G577" s="13">
        <v>3</v>
      </c>
      <c r="H577" s="31">
        <f t="shared" si="10"/>
        <v>239.96999999999997</v>
      </c>
      <c r="I577" s="19"/>
    </row>
    <row r="578" spans="1:9" x14ac:dyDescent="0.3">
      <c r="A578" s="17" t="s">
        <v>37</v>
      </c>
      <c r="B578" s="10" t="s">
        <v>26</v>
      </c>
      <c r="C578" s="11" t="s">
        <v>14</v>
      </c>
      <c r="D578" s="10" t="s">
        <v>18</v>
      </c>
      <c r="E578" s="12">
        <v>42229</v>
      </c>
      <c r="F578" s="31">
        <v>168.95</v>
      </c>
      <c r="G578" s="13">
        <v>8</v>
      </c>
      <c r="H578" s="31">
        <f t="shared" ref="H578:H641" si="11">F578*G578</f>
        <v>1351.6</v>
      </c>
      <c r="I578" s="19"/>
    </row>
    <row r="579" spans="1:9" x14ac:dyDescent="0.3">
      <c r="A579" s="17" t="s">
        <v>44</v>
      </c>
      <c r="B579" s="10" t="s">
        <v>23</v>
      </c>
      <c r="C579" s="11" t="s">
        <v>14</v>
      </c>
      <c r="D579" s="10" t="s">
        <v>21</v>
      </c>
      <c r="E579" s="12">
        <v>41682</v>
      </c>
      <c r="F579" s="31">
        <v>340.95</v>
      </c>
      <c r="G579" s="13">
        <v>6</v>
      </c>
      <c r="H579" s="31">
        <f t="shared" si="11"/>
        <v>2045.6999999999998</v>
      </c>
      <c r="I579" s="19"/>
    </row>
    <row r="580" spans="1:9" x14ac:dyDescent="0.3">
      <c r="A580" s="17" t="s">
        <v>44</v>
      </c>
      <c r="B580" s="10" t="s">
        <v>24</v>
      </c>
      <c r="C580" s="11" t="s">
        <v>14</v>
      </c>
      <c r="D580" s="10" t="s">
        <v>20</v>
      </c>
      <c r="E580" s="12">
        <v>42278</v>
      </c>
      <c r="F580" s="31">
        <v>79.989999999999995</v>
      </c>
      <c r="G580" s="13">
        <v>11</v>
      </c>
      <c r="H580" s="31">
        <f t="shared" si="11"/>
        <v>879.89</v>
      </c>
      <c r="I580" s="19"/>
    </row>
    <row r="581" spans="1:9" x14ac:dyDescent="0.3">
      <c r="A581" s="17" t="s">
        <v>43</v>
      </c>
      <c r="B581" s="10" t="s">
        <v>23</v>
      </c>
      <c r="C581" s="11" t="s">
        <v>16</v>
      </c>
      <c r="D581" s="10" t="s">
        <v>20</v>
      </c>
      <c r="E581" s="12">
        <v>42081</v>
      </c>
      <c r="F581" s="31">
        <v>340.95</v>
      </c>
      <c r="G581" s="13">
        <v>8</v>
      </c>
      <c r="H581" s="31">
        <f t="shared" si="11"/>
        <v>2727.6</v>
      </c>
      <c r="I581" s="19"/>
    </row>
    <row r="582" spans="1:9" x14ac:dyDescent="0.3">
      <c r="A582" s="9" t="s">
        <v>40</v>
      </c>
      <c r="B582" s="10" t="s">
        <v>27</v>
      </c>
      <c r="C582" s="11" t="s">
        <v>17</v>
      </c>
      <c r="D582" s="10" t="s">
        <v>22</v>
      </c>
      <c r="E582" s="12">
        <v>42305</v>
      </c>
      <c r="F582" s="31">
        <v>799.95</v>
      </c>
      <c r="G582" s="13">
        <v>13</v>
      </c>
      <c r="H582" s="31">
        <f t="shared" si="11"/>
        <v>10399.35</v>
      </c>
      <c r="I582" s="19"/>
    </row>
    <row r="583" spans="1:9" x14ac:dyDescent="0.3">
      <c r="A583" s="17" t="s">
        <v>37</v>
      </c>
      <c r="B583" s="10" t="s">
        <v>23</v>
      </c>
      <c r="C583" s="11" t="s">
        <v>14</v>
      </c>
      <c r="D583" s="10" t="s">
        <v>18</v>
      </c>
      <c r="E583" s="12">
        <v>41915</v>
      </c>
      <c r="F583" s="31">
        <v>340.95</v>
      </c>
      <c r="G583" s="13">
        <v>6</v>
      </c>
      <c r="H583" s="31">
        <f t="shared" si="11"/>
        <v>2045.6999999999998</v>
      </c>
      <c r="I583" s="19"/>
    </row>
    <row r="584" spans="1:9" x14ac:dyDescent="0.3">
      <c r="A584" s="17" t="s">
        <v>43</v>
      </c>
      <c r="B584" s="10" t="s">
        <v>26</v>
      </c>
      <c r="C584" s="11" t="s">
        <v>16</v>
      </c>
      <c r="D584" s="10" t="s">
        <v>21</v>
      </c>
      <c r="E584" s="12">
        <v>41976</v>
      </c>
      <c r="F584" s="31">
        <v>168.95</v>
      </c>
      <c r="G584" s="13">
        <v>9</v>
      </c>
      <c r="H584" s="31">
        <f t="shared" si="11"/>
        <v>1520.55</v>
      </c>
      <c r="I584" s="19"/>
    </row>
    <row r="585" spans="1:9" x14ac:dyDescent="0.3">
      <c r="A585" s="9" t="s">
        <v>0</v>
      </c>
      <c r="B585" s="10" t="s">
        <v>24</v>
      </c>
      <c r="C585" s="11" t="s">
        <v>14</v>
      </c>
      <c r="D585" s="10" t="s">
        <v>22</v>
      </c>
      <c r="E585" s="12">
        <v>42223</v>
      </c>
      <c r="F585" s="31">
        <v>79.989999999999995</v>
      </c>
      <c r="G585" s="13">
        <v>3</v>
      </c>
      <c r="H585" s="31">
        <f t="shared" si="11"/>
        <v>239.96999999999997</v>
      </c>
      <c r="I585" s="19"/>
    </row>
    <row r="586" spans="1:9" x14ac:dyDescent="0.3">
      <c r="A586" s="9" t="s">
        <v>40</v>
      </c>
      <c r="B586" s="10" t="s">
        <v>26</v>
      </c>
      <c r="C586" s="11" t="s">
        <v>17</v>
      </c>
      <c r="D586" s="10" t="s">
        <v>18</v>
      </c>
      <c r="E586" s="12">
        <v>42305</v>
      </c>
      <c r="F586" s="31">
        <v>168.95</v>
      </c>
      <c r="G586" s="13">
        <v>18</v>
      </c>
      <c r="H586" s="31">
        <f t="shared" si="11"/>
        <v>3041.1</v>
      </c>
      <c r="I586" s="19"/>
    </row>
    <row r="587" spans="1:9" x14ac:dyDescent="0.3">
      <c r="A587" s="9" t="s">
        <v>36</v>
      </c>
      <c r="B587" s="10" t="s">
        <v>25</v>
      </c>
      <c r="C587" s="11" t="s">
        <v>15</v>
      </c>
      <c r="D587" s="10" t="s">
        <v>21</v>
      </c>
      <c r="E587" s="12">
        <v>42134</v>
      </c>
      <c r="F587" s="31">
        <v>340.95</v>
      </c>
      <c r="G587" s="13">
        <v>10</v>
      </c>
      <c r="H587" s="31">
        <f t="shared" si="11"/>
        <v>3409.5</v>
      </c>
      <c r="I587" s="19"/>
    </row>
    <row r="588" spans="1:9" x14ac:dyDescent="0.3">
      <c r="A588" s="9" t="s">
        <v>36</v>
      </c>
      <c r="B588" s="10" t="s">
        <v>25</v>
      </c>
      <c r="C588" s="11" t="s">
        <v>15</v>
      </c>
      <c r="D588" s="10" t="s">
        <v>19</v>
      </c>
      <c r="E588" s="12">
        <v>41843</v>
      </c>
      <c r="F588" s="31">
        <v>340.95</v>
      </c>
      <c r="G588" s="13">
        <v>13</v>
      </c>
      <c r="H588" s="31">
        <f t="shared" si="11"/>
        <v>4432.3499999999995</v>
      </c>
      <c r="I588" s="19"/>
    </row>
    <row r="589" spans="1:9" x14ac:dyDescent="0.3">
      <c r="A589" s="9" t="s">
        <v>0</v>
      </c>
      <c r="B589" s="10" t="s">
        <v>27</v>
      </c>
      <c r="C589" s="11" t="s">
        <v>14</v>
      </c>
      <c r="D589" s="10" t="s">
        <v>22</v>
      </c>
      <c r="E589" s="12">
        <v>41751</v>
      </c>
      <c r="F589" s="31">
        <v>799.95</v>
      </c>
      <c r="G589" s="13">
        <v>8</v>
      </c>
      <c r="H589" s="31">
        <f t="shared" si="11"/>
        <v>6399.6</v>
      </c>
      <c r="I589" s="19"/>
    </row>
    <row r="590" spans="1:9" x14ac:dyDescent="0.3">
      <c r="A590" s="17" t="s">
        <v>37</v>
      </c>
      <c r="B590" s="10" t="s">
        <v>27</v>
      </c>
      <c r="C590" s="11" t="s">
        <v>14</v>
      </c>
      <c r="D590" s="10" t="s">
        <v>22</v>
      </c>
      <c r="E590" s="12">
        <v>41671</v>
      </c>
      <c r="F590" s="31">
        <v>799.95</v>
      </c>
      <c r="G590" s="13">
        <v>7</v>
      </c>
      <c r="H590" s="31">
        <f t="shared" si="11"/>
        <v>5599.6500000000005</v>
      </c>
      <c r="I590" s="19"/>
    </row>
    <row r="591" spans="1:9" x14ac:dyDescent="0.3">
      <c r="A591" s="9" t="s">
        <v>46</v>
      </c>
      <c r="B591" s="10" t="s">
        <v>25</v>
      </c>
      <c r="C591" s="11" t="s">
        <v>16</v>
      </c>
      <c r="D591" s="10" t="s">
        <v>22</v>
      </c>
      <c r="E591" s="12">
        <v>41670</v>
      </c>
      <c r="F591" s="31">
        <v>340.95</v>
      </c>
      <c r="G591" s="13">
        <v>8</v>
      </c>
      <c r="H591" s="31">
        <f t="shared" si="11"/>
        <v>2727.6</v>
      </c>
      <c r="I591" s="19"/>
    </row>
    <row r="592" spans="1:9" x14ac:dyDescent="0.3">
      <c r="A592" s="17" t="s">
        <v>43</v>
      </c>
      <c r="B592" s="10" t="s">
        <v>23</v>
      </c>
      <c r="C592" s="11" t="s">
        <v>16</v>
      </c>
      <c r="D592" s="10" t="s">
        <v>22</v>
      </c>
      <c r="E592" s="12">
        <v>42279</v>
      </c>
      <c r="F592" s="31">
        <v>340.95</v>
      </c>
      <c r="G592" s="13">
        <v>9</v>
      </c>
      <c r="H592" s="31">
        <f t="shared" si="11"/>
        <v>3068.5499999999997</v>
      </c>
      <c r="I592" s="19"/>
    </row>
    <row r="593" spans="1:9" x14ac:dyDescent="0.3">
      <c r="A593" s="9" t="s">
        <v>36</v>
      </c>
      <c r="B593" s="10" t="s">
        <v>27</v>
      </c>
      <c r="C593" s="11" t="s">
        <v>15</v>
      </c>
      <c r="D593" s="10" t="s">
        <v>22</v>
      </c>
      <c r="E593" s="12">
        <v>42360</v>
      </c>
      <c r="F593" s="31">
        <v>799.95</v>
      </c>
      <c r="G593" s="13">
        <v>3</v>
      </c>
      <c r="H593" s="31">
        <f t="shared" si="11"/>
        <v>2399.8500000000004</v>
      </c>
      <c r="I593" s="19"/>
    </row>
    <row r="594" spans="1:9" x14ac:dyDescent="0.3">
      <c r="A594" s="17" t="s">
        <v>45</v>
      </c>
      <c r="B594" s="10" t="s">
        <v>25</v>
      </c>
      <c r="C594" s="11" t="s">
        <v>15</v>
      </c>
      <c r="D594" s="10" t="s">
        <v>22</v>
      </c>
      <c r="E594" s="12">
        <v>42183</v>
      </c>
      <c r="F594" s="31">
        <v>340.95</v>
      </c>
      <c r="G594" s="13">
        <v>5</v>
      </c>
      <c r="H594" s="31">
        <f t="shared" si="11"/>
        <v>1704.75</v>
      </c>
      <c r="I594" s="19"/>
    </row>
    <row r="595" spans="1:9" x14ac:dyDescent="0.3">
      <c r="A595" s="9" t="s">
        <v>0</v>
      </c>
      <c r="B595" s="10" t="s">
        <v>24</v>
      </c>
      <c r="C595" s="11" t="s">
        <v>14</v>
      </c>
      <c r="D595" s="10" t="s">
        <v>18</v>
      </c>
      <c r="E595" s="12">
        <v>41752</v>
      </c>
      <c r="F595" s="31">
        <v>79.989999999999995</v>
      </c>
      <c r="G595" s="13">
        <v>11</v>
      </c>
      <c r="H595" s="31">
        <f t="shared" si="11"/>
        <v>879.89</v>
      </c>
      <c r="I595" s="19"/>
    </row>
    <row r="596" spans="1:9" x14ac:dyDescent="0.3">
      <c r="A596" s="17" t="s">
        <v>43</v>
      </c>
      <c r="B596" s="10" t="s">
        <v>23</v>
      </c>
      <c r="C596" s="11" t="s">
        <v>16</v>
      </c>
      <c r="D596" s="10" t="s">
        <v>19</v>
      </c>
      <c r="E596" s="12">
        <v>42118</v>
      </c>
      <c r="F596" s="31">
        <v>340.95</v>
      </c>
      <c r="G596" s="13">
        <v>2</v>
      </c>
      <c r="H596" s="31">
        <f t="shared" si="11"/>
        <v>681.9</v>
      </c>
      <c r="I596" s="19"/>
    </row>
    <row r="597" spans="1:9" x14ac:dyDescent="0.3">
      <c r="A597" s="9" t="s">
        <v>36</v>
      </c>
      <c r="B597" s="10" t="s">
        <v>27</v>
      </c>
      <c r="C597" s="11" t="s">
        <v>15</v>
      </c>
      <c r="D597" s="10" t="s">
        <v>21</v>
      </c>
      <c r="E597" s="12">
        <v>41987</v>
      </c>
      <c r="F597" s="31">
        <v>799.95</v>
      </c>
      <c r="G597" s="13">
        <v>7</v>
      </c>
      <c r="H597" s="31">
        <f t="shared" si="11"/>
        <v>5599.6500000000005</v>
      </c>
      <c r="I597" s="19"/>
    </row>
    <row r="598" spans="1:9" x14ac:dyDescent="0.3">
      <c r="A598" s="17" t="s">
        <v>45</v>
      </c>
      <c r="B598" s="10" t="s">
        <v>24</v>
      </c>
      <c r="C598" s="11" t="s">
        <v>15</v>
      </c>
      <c r="D598" s="10" t="s">
        <v>20</v>
      </c>
      <c r="E598" s="12">
        <v>42192</v>
      </c>
      <c r="F598" s="31">
        <v>79.989999999999995</v>
      </c>
      <c r="G598" s="13">
        <v>15</v>
      </c>
      <c r="H598" s="31">
        <f t="shared" si="11"/>
        <v>1199.8499999999999</v>
      </c>
      <c r="I598" s="19"/>
    </row>
    <row r="599" spans="1:9" x14ac:dyDescent="0.3">
      <c r="A599" s="9" t="s">
        <v>36</v>
      </c>
      <c r="B599" s="10" t="s">
        <v>25</v>
      </c>
      <c r="C599" s="11" t="s">
        <v>15</v>
      </c>
      <c r="D599" s="10" t="s">
        <v>20</v>
      </c>
      <c r="E599" s="12">
        <v>41837</v>
      </c>
      <c r="F599" s="31">
        <v>340.95</v>
      </c>
      <c r="G599" s="13">
        <v>2</v>
      </c>
      <c r="H599" s="31">
        <f t="shared" si="11"/>
        <v>681.9</v>
      </c>
      <c r="I599" s="19"/>
    </row>
    <row r="600" spans="1:9" x14ac:dyDescent="0.3">
      <c r="A600" s="9" t="s">
        <v>36</v>
      </c>
      <c r="B600" s="10" t="s">
        <v>25</v>
      </c>
      <c r="C600" s="11" t="s">
        <v>15</v>
      </c>
      <c r="D600" s="10" t="s">
        <v>18</v>
      </c>
      <c r="E600" s="12">
        <v>41676</v>
      </c>
      <c r="F600" s="31">
        <v>340.95</v>
      </c>
      <c r="G600" s="13">
        <v>15</v>
      </c>
      <c r="H600" s="31">
        <f t="shared" si="11"/>
        <v>5114.25</v>
      </c>
      <c r="I600" s="19"/>
    </row>
    <row r="601" spans="1:9" x14ac:dyDescent="0.3">
      <c r="A601" s="9" t="s">
        <v>42</v>
      </c>
      <c r="B601" s="10" t="s">
        <v>23</v>
      </c>
      <c r="C601" s="11" t="s">
        <v>15</v>
      </c>
      <c r="D601" s="10" t="s">
        <v>20</v>
      </c>
      <c r="E601" s="12">
        <v>41978</v>
      </c>
      <c r="F601" s="31">
        <v>340.95</v>
      </c>
      <c r="G601" s="13">
        <v>13</v>
      </c>
      <c r="H601" s="31">
        <f t="shared" si="11"/>
        <v>4432.3499999999995</v>
      </c>
      <c r="I601" s="19"/>
    </row>
    <row r="602" spans="1:9" x14ac:dyDescent="0.3">
      <c r="A602" s="17" t="s">
        <v>44</v>
      </c>
      <c r="B602" s="10" t="s">
        <v>27</v>
      </c>
      <c r="C602" s="11" t="s">
        <v>14</v>
      </c>
      <c r="D602" s="10" t="s">
        <v>22</v>
      </c>
      <c r="E602" s="12">
        <v>42277</v>
      </c>
      <c r="F602" s="31">
        <v>799.95</v>
      </c>
      <c r="G602" s="13">
        <v>15</v>
      </c>
      <c r="H602" s="31">
        <f t="shared" si="11"/>
        <v>11999.25</v>
      </c>
      <c r="I602" s="19"/>
    </row>
    <row r="603" spans="1:9" x14ac:dyDescent="0.3">
      <c r="A603" s="9" t="s">
        <v>46</v>
      </c>
      <c r="B603" s="10" t="s">
        <v>27</v>
      </c>
      <c r="C603" s="11" t="s">
        <v>16</v>
      </c>
      <c r="D603" s="10" t="s">
        <v>18</v>
      </c>
      <c r="E603" s="12">
        <v>42020</v>
      </c>
      <c r="F603" s="31">
        <v>799.95</v>
      </c>
      <c r="G603" s="13">
        <v>6</v>
      </c>
      <c r="H603" s="31">
        <f t="shared" si="11"/>
        <v>4799.7000000000007</v>
      </c>
      <c r="I603" s="19"/>
    </row>
    <row r="604" spans="1:9" x14ac:dyDescent="0.3">
      <c r="A604" s="9" t="s">
        <v>40</v>
      </c>
      <c r="B604" s="10" t="s">
        <v>27</v>
      </c>
      <c r="C604" s="11" t="s">
        <v>17</v>
      </c>
      <c r="D604" s="10" t="s">
        <v>20</v>
      </c>
      <c r="E604" s="12">
        <v>41818</v>
      </c>
      <c r="F604" s="31">
        <v>799.95</v>
      </c>
      <c r="G604" s="13">
        <v>14</v>
      </c>
      <c r="H604" s="31">
        <f t="shared" si="11"/>
        <v>11199.300000000001</v>
      </c>
      <c r="I604" s="19"/>
    </row>
    <row r="605" spans="1:9" x14ac:dyDescent="0.3">
      <c r="A605" s="9" t="s">
        <v>40</v>
      </c>
      <c r="B605" s="10" t="s">
        <v>27</v>
      </c>
      <c r="C605" s="11" t="s">
        <v>17</v>
      </c>
      <c r="D605" s="10" t="s">
        <v>19</v>
      </c>
      <c r="E605" s="12">
        <v>42285</v>
      </c>
      <c r="F605" s="31">
        <v>799.95</v>
      </c>
      <c r="G605" s="13">
        <v>15</v>
      </c>
      <c r="H605" s="31">
        <f t="shared" si="11"/>
        <v>11999.25</v>
      </c>
      <c r="I605" s="19"/>
    </row>
    <row r="606" spans="1:9" x14ac:dyDescent="0.3">
      <c r="A606" s="17" t="s">
        <v>37</v>
      </c>
      <c r="B606" s="10" t="s">
        <v>24</v>
      </c>
      <c r="C606" s="11" t="s">
        <v>14</v>
      </c>
      <c r="D606" s="10" t="s">
        <v>21</v>
      </c>
      <c r="E606" s="12">
        <v>41926</v>
      </c>
      <c r="F606" s="31">
        <v>79.989999999999995</v>
      </c>
      <c r="G606" s="13">
        <v>1</v>
      </c>
      <c r="H606" s="31">
        <f t="shared" si="11"/>
        <v>79.989999999999995</v>
      </c>
      <c r="I606" s="19"/>
    </row>
    <row r="607" spans="1:9" x14ac:dyDescent="0.3">
      <c r="A607" s="9" t="s">
        <v>46</v>
      </c>
      <c r="B607" s="10" t="s">
        <v>26</v>
      </c>
      <c r="C607" s="11" t="s">
        <v>16</v>
      </c>
      <c r="D607" s="10" t="s">
        <v>19</v>
      </c>
      <c r="E607" s="12">
        <v>42244</v>
      </c>
      <c r="F607" s="31">
        <v>168.95</v>
      </c>
      <c r="G607" s="13">
        <v>13</v>
      </c>
      <c r="H607" s="31">
        <f t="shared" si="11"/>
        <v>2196.35</v>
      </c>
      <c r="I607" s="19"/>
    </row>
    <row r="608" spans="1:9" x14ac:dyDescent="0.3">
      <c r="A608" s="9" t="s">
        <v>36</v>
      </c>
      <c r="B608" s="10" t="s">
        <v>26</v>
      </c>
      <c r="C608" s="11" t="s">
        <v>15</v>
      </c>
      <c r="D608" s="10" t="s">
        <v>18</v>
      </c>
      <c r="E608" s="12">
        <v>42316</v>
      </c>
      <c r="F608" s="31">
        <v>168.95</v>
      </c>
      <c r="G608" s="13">
        <v>9</v>
      </c>
      <c r="H608" s="31">
        <f t="shared" si="11"/>
        <v>1520.55</v>
      </c>
      <c r="I608" s="19"/>
    </row>
    <row r="609" spans="1:9" x14ac:dyDescent="0.3">
      <c r="A609" s="9" t="s">
        <v>42</v>
      </c>
      <c r="B609" s="10" t="s">
        <v>24</v>
      </c>
      <c r="C609" s="11" t="s">
        <v>15</v>
      </c>
      <c r="D609" s="10" t="s">
        <v>18</v>
      </c>
      <c r="E609" s="12">
        <v>41955</v>
      </c>
      <c r="F609" s="31">
        <v>79.989999999999995</v>
      </c>
      <c r="G609" s="13">
        <v>10</v>
      </c>
      <c r="H609" s="31">
        <f t="shared" si="11"/>
        <v>799.9</v>
      </c>
      <c r="I609" s="19"/>
    </row>
    <row r="610" spans="1:9" x14ac:dyDescent="0.3">
      <c r="A610" s="17" t="s">
        <v>43</v>
      </c>
      <c r="B610" s="10" t="s">
        <v>25</v>
      </c>
      <c r="C610" s="11" t="s">
        <v>16</v>
      </c>
      <c r="D610" s="10" t="s">
        <v>21</v>
      </c>
      <c r="E610" s="12">
        <v>42214</v>
      </c>
      <c r="F610" s="31">
        <v>340.95</v>
      </c>
      <c r="G610" s="13">
        <v>9</v>
      </c>
      <c r="H610" s="31">
        <f t="shared" si="11"/>
        <v>3068.5499999999997</v>
      </c>
      <c r="I610" s="19"/>
    </row>
    <row r="611" spans="1:9" x14ac:dyDescent="0.3">
      <c r="A611" s="9" t="s">
        <v>36</v>
      </c>
      <c r="B611" s="10" t="s">
        <v>27</v>
      </c>
      <c r="C611" s="11" t="s">
        <v>15</v>
      </c>
      <c r="D611" s="10" t="s">
        <v>19</v>
      </c>
      <c r="E611" s="12">
        <v>41969</v>
      </c>
      <c r="F611" s="31">
        <v>799.95</v>
      </c>
      <c r="G611" s="13">
        <v>14</v>
      </c>
      <c r="H611" s="31">
        <f t="shared" si="11"/>
        <v>11199.300000000001</v>
      </c>
      <c r="I611" s="19"/>
    </row>
    <row r="612" spans="1:9" x14ac:dyDescent="0.3">
      <c r="A612" s="17" t="s">
        <v>43</v>
      </c>
      <c r="B612" s="10" t="s">
        <v>26</v>
      </c>
      <c r="C612" s="11" t="s">
        <v>16</v>
      </c>
      <c r="D612" s="10" t="s">
        <v>21</v>
      </c>
      <c r="E612" s="12">
        <v>42256</v>
      </c>
      <c r="F612" s="31">
        <v>168.95</v>
      </c>
      <c r="G612" s="13">
        <v>1</v>
      </c>
      <c r="H612" s="31">
        <f t="shared" si="11"/>
        <v>168.95</v>
      </c>
      <c r="I612" s="19"/>
    </row>
    <row r="613" spans="1:9" x14ac:dyDescent="0.3">
      <c r="A613" s="17" t="s">
        <v>45</v>
      </c>
      <c r="B613" s="10" t="s">
        <v>23</v>
      </c>
      <c r="C613" s="11" t="s">
        <v>15</v>
      </c>
      <c r="D613" s="10" t="s">
        <v>22</v>
      </c>
      <c r="E613" s="12">
        <v>41749</v>
      </c>
      <c r="F613" s="31">
        <v>340.95</v>
      </c>
      <c r="G613" s="13">
        <v>5</v>
      </c>
      <c r="H613" s="31">
        <f t="shared" si="11"/>
        <v>1704.75</v>
      </c>
      <c r="I613" s="19"/>
    </row>
    <row r="614" spans="1:9" x14ac:dyDescent="0.3">
      <c r="A614" s="9" t="s">
        <v>46</v>
      </c>
      <c r="B614" s="10" t="s">
        <v>23</v>
      </c>
      <c r="C614" s="11" t="s">
        <v>16</v>
      </c>
      <c r="D614" s="10" t="s">
        <v>21</v>
      </c>
      <c r="E614" s="12">
        <v>42323</v>
      </c>
      <c r="F614" s="31">
        <v>340.95</v>
      </c>
      <c r="G614" s="13">
        <v>2</v>
      </c>
      <c r="H614" s="31">
        <f t="shared" si="11"/>
        <v>681.9</v>
      </c>
      <c r="I614" s="19"/>
    </row>
    <row r="615" spans="1:9" x14ac:dyDescent="0.3">
      <c r="A615" s="17" t="s">
        <v>43</v>
      </c>
      <c r="B615" s="10" t="s">
        <v>25</v>
      </c>
      <c r="C615" s="11" t="s">
        <v>16</v>
      </c>
      <c r="D615" s="10" t="s">
        <v>22</v>
      </c>
      <c r="E615" s="12">
        <v>42195</v>
      </c>
      <c r="F615" s="31">
        <v>340.95</v>
      </c>
      <c r="G615" s="13">
        <v>6</v>
      </c>
      <c r="H615" s="31">
        <f t="shared" si="11"/>
        <v>2045.6999999999998</v>
      </c>
      <c r="I615" s="19"/>
    </row>
    <row r="616" spans="1:9" x14ac:dyDescent="0.3">
      <c r="A616" s="9" t="s">
        <v>46</v>
      </c>
      <c r="B616" s="10" t="s">
        <v>23</v>
      </c>
      <c r="C616" s="11" t="s">
        <v>16</v>
      </c>
      <c r="D616" s="10" t="s">
        <v>22</v>
      </c>
      <c r="E616" s="12">
        <v>42250</v>
      </c>
      <c r="F616" s="31">
        <v>340.95</v>
      </c>
      <c r="G616" s="13">
        <v>10</v>
      </c>
      <c r="H616" s="31">
        <f t="shared" si="11"/>
        <v>3409.5</v>
      </c>
      <c r="I616" s="19"/>
    </row>
    <row r="617" spans="1:9" x14ac:dyDescent="0.3">
      <c r="A617" s="9" t="s">
        <v>0</v>
      </c>
      <c r="B617" s="10" t="s">
        <v>25</v>
      </c>
      <c r="C617" s="11" t="s">
        <v>14</v>
      </c>
      <c r="D617" s="10" t="s">
        <v>18</v>
      </c>
      <c r="E617" s="12">
        <v>41676</v>
      </c>
      <c r="F617" s="31">
        <v>340.95</v>
      </c>
      <c r="G617" s="13">
        <v>7</v>
      </c>
      <c r="H617" s="31">
        <f t="shared" si="11"/>
        <v>2386.65</v>
      </c>
      <c r="I617" s="19"/>
    </row>
    <row r="618" spans="1:9" x14ac:dyDescent="0.3">
      <c r="A618" s="9" t="s">
        <v>46</v>
      </c>
      <c r="B618" s="10" t="s">
        <v>27</v>
      </c>
      <c r="C618" s="11" t="s">
        <v>16</v>
      </c>
      <c r="D618" s="10" t="s">
        <v>22</v>
      </c>
      <c r="E618" s="12">
        <v>42196</v>
      </c>
      <c r="F618" s="31">
        <v>799.95</v>
      </c>
      <c r="G618" s="13">
        <v>7</v>
      </c>
      <c r="H618" s="31">
        <f t="shared" si="11"/>
        <v>5599.6500000000005</v>
      </c>
      <c r="I618" s="19"/>
    </row>
    <row r="619" spans="1:9" x14ac:dyDescent="0.3">
      <c r="A619" s="17" t="s">
        <v>39</v>
      </c>
      <c r="B619" s="10" t="s">
        <v>24</v>
      </c>
      <c r="C619" s="11" t="s">
        <v>14</v>
      </c>
      <c r="D619" s="10" t="s">
        <v>18</v>
      </c>
      <c r="E619" s="12">
        <v>42022</v>
      </c>
      <c r="F619" s="31">
        <v>79.989999999999995</v>
      </c>
      <c r="G619" s="13">
        <v>8</v>
      </c>
      <c r="H619" s="31">
        <f t="shared" si="11"/>
        <v>639.91999999999996</v>
      </c>
      <c r="I619" s="19"/>
    </row>
    <row r="620" spans="1:9" x14ac:dyDescent="0.3">
      <c r="A620" s="17" t="s">
        <v>41</v>
      </c>
      <c r="B620" s="10" t="s">
        <v>26</v>
      </c>
      <c r="C620" s="11" t="s">
        <v>17</v>
      </c>
      <c r="D620" s="10" t="s">
        <v>22</v>
      </c>
      <c r="E620" s="12">
        <v>42344</v>
      </c>
      <c r="F620" s="31">
        <v>168.95</v>
      </c>
      <c r="G620" s="13">
        <v>15</v>
      </c>
      <c r="H620" s="31">
        <f t="shared" si="11"/>
        <v>2534.25</v>
      </c>
      <c r="I620" s="19"/>
    </row>
    <row r="621" spans="1:9" x14ac:dyDescent="0.3">
      <c r="A621" s="9" t="s">
        <v>38</v>
      </c>
      <c r="B621" s="10" t="s">
        <v>25</v>
      </c>
      <c r="C621" s="11" t="s">
        <v>16</v>
      </c>
      <c r="D621" s="10" t="s">
        <v>21</v>
      </c>
      <c r="E621" s="12">
        <v>41836</v>
      </c>
      <c r="F621" s="31">
        <v>340.95</v>
      </c>
      <c r="G621" s="13">
        <v>6</v>
      </c>
      <c r="H621" s="31">
        <f t="shared" si="11"/>
        <v>2045.6999999999998</v>
      </c>
      <c r="I621" s="19"/>
    </row>
    <row r="622" spans="1:9" x14ac:dyDescent="0.3">
      <c r="A622" s="17" t="s">
        <v>41</v>
      </c>
      <c r="B622" s="10" t="s">
        <v>27</v>
      </c>
      <c r="C622" s="11" t="s">
        <v>17</v>
      </c>
      <c r="D622" s="10" t="s">
        <v>22</v>
      </c>
      <c r="E622" s="12">
        <v>41650</v>
      </c>
      <c r="F622" s="31">
        <v>799.95</v>
      </c>
      <c r="G622" s="13">
        <v>2</v>
      </c>
      <c r="H622" s="31">
        <f t="shared" si="11"/>
        <v>1599.9</v>
      </c>
      <c r="I622" s="19"/>
    </row>
    <row r="623" spans="1:9" x14ac:dyDescent="0.3">
      <c r="A623" s="17" t="s">
        <v>41</v>
      </c>
      <c r="B623" s="10" t="s">
        <v>26</v>
      </c>
      <c r="C623" s="11" t="s">
        <v>17</v>
      </c>
      <c r="D623" s="10" t="s">
        <v>20</v>
      </c>
      <c r="E623" s="12">
        <v>41910</v>
      </c>
      <c r="F623" s="31">
        <v>168.95</v>
      </c>
      <c r="G623" s="13">
        <v>4</v>
      </c>
      <c r="H623" s="31">
        <f t="shared" si="11"/>
        <v>675.8</v>
      </c>
      <c r="I623" s="19"/>
    </row>
    <row r="624" spans="1:9" x14ac:dyDescent="0.3">
      <c r="A624" s="17" t="s">
        <v>43</v>
      </c>
      <c r="B624" s="10" t="s">
        <v>23</v>
      </c>
      <c r="C624" s="11" t="s">
        <v>16</v>
      </c>
      <c r="D624" s="10" t="s">
        <v>19</v>
      </c>
      <c r="E624" s="12">
        <v>41902</v>
      </c>
      <c r="F624" s="31">
        <v>340.95</v>
      </c>
      <c r="G624" s="13">
        <v>15</v>
      </c>
      <c r="H624" s="31">
        <f t="shared" si="11"/>
        <v>5114.25</v>
      </c>
      <c r="I624" s="19"/>
    </row>
    <row r="625" spans="1:9" x14ac:dyDescent="0.3">
      <c r="A625" s="9" t="s">
        <v>46</v>
      </c>
      <c r="B625" s="10" t="s">
        <v>24</v>
      </c>
      <c r="C625" s="11" t="s">
        <v>16</v>
      </c>
      <c r="D625" s="10" t="s">
        <v>22</v>
      </c>
      <c r="E625" s="12">
        <v>41672</v>
      </c>
      <c r="F625" s="31">
        <v>79.989999999999995</v>
      </c>
      <c r="G625" s="13">
        <v>5</v>
      </c>
      <c r="H625" s="31">
        <f t="shared" si="11"/>
        <v>399.95</v>
      </c>
      <c r="I625" s="19"/>
    </row>
    <row r="626" spans="1:9" x14ac:dyDescent="0.3">
      <c r="A626" s="17" t="s">
        <v>45</v>
      </c>
      <c r="B626" s="10" t="s">
        <v>26</v>
      </c>
      <c r="C626" s="11" t="s">
        <v>15</v>
      </c>
      <c r="D626" s="10" t="s">
        <v>18</v>
      </c>
      <c r="E626" s="12">
        <v>41959</v>
      </c>
      <c r="F626" s="31">
        <v>168.95</v>
      </c>
      <c r="G626" s="13">
        <v>15</v>
      </c>
      <c r="H626" s="31">
        <f t="shared" si="11"/>
        <v>2534.25</v>
      </c>
      <c r="I626" s="19"/>
    </row>
    <row r="627" spans="1:9" x14ac:dyDescent="0.3">
      <c r="A627" s="17" t="s">
        <v>44</v>
      </c>
      <c r="B627" s="10" t="s">
        <v>27</v>
      </c>
      <c r="C627" s="11" t="s">
        <v>14</v>
      </c>
      <c r="D627" s="10" t="s">
        <v>21</v>
      </c>
      <c r="E627" s="12">
        <v>41689</v>
      </c>
      <c r="F627" s="31">
        <v>799.95</v>
      </c>
      <c r="G627" s="13">
        <v>9</v>
      </c>
      <c r="H627" s="31">
        <f t="shared" si="11"/>
        <v>7199.55</v>
      </c>
      <c r="I627" s="19"/>
    </row>
    <row r="628" spans="1:9" x14ac:dyDescent="0.3">
      <c r="A628" s="17" t="s">
        <v>41</v>
      </c>
      <c r="B628" s="10" t="s">
        <v>25</v>
      </c>
      <c r="C628" s="11" t="s">
        <v>17</v>
      </c>
      <c r="D628" s="10" t="s">
        <v>20</v>
      </c>
      <c r="E628" s="12">
        <v>42020</v>
      </c>
      <c r="F628" s="31">
        <v>340.95</v>
      </c>
      <c r="G628" s="13">
        <v>13</v>
      </c>
      <c r="H628" s="31">
        <f t="shared" si="11"/>
        <v>4432.3499999999995</v>
      </c>
      <c r="I628" s="19"/>
    </row>
    <row r="629" spans="1:9" x14ac:dyDescent="0.3">
      <c r="A629" s="9" t="s">
        <v>46</v>
      </c>
      <c r="B629" s="10" t="s">
        <v>26</v>
      </c>
      <c r="C629" s="11" t="s">
        <v>16</v>
      </c>
      <c r="D629" s="10" t="s">
        <v>21</v>
      </c>
      <c r="E629" s="12">
        <v>41815</v>
      </c>
      <c r="F629" s="31">
        <v>168.95</v>
      </c>
      <c r="G629" s="13">
        <v>5</v>
      </c>
      <c r="H629" s="31">
        <f t="shared" si="11"/>
        <v>844.75</v>
      </c>
      <c r="I629" s="19"/>
    </row>
    <row r="630" spans="1:9" x14ac:dyDescent="0.3">
      <c r="A630" s="17" t="s">
        <v>41</v>
      </c>
      <c r="B630" s="10" t="s">
        <v>24</v>
      </c>
      <c r="C630" s="11" t="s">
        <v>17</v>
      </c>
      <c r="D630" s="10" t="s">
        <v>22</v>
      </c>
      <c r="E630" s="12">
        <v>42005</v>
      </c>
      <c r="F630" s="31">
        <v>79.989999999999995</v>
      </c>
      <c r="G630" s="13">
        <v>11</v>
      </c>
      <c r="H630" s="31">
        <f t="shared" si="11"/>
        <v>879.89</v>
      </c>
      <c r="I630" s="19"/>
    </row>
    <row r="631" spans="1:9" x14ac:dyDescent="0.3">
      <c r="A631" s="9" t="s">
        <v>0</v>
      </c>
      <c r="B631" s="10" t="s">
        <v>26</v>
      </c>
      <c r="C631" s="11" t="s">
        <v>14</v>
      </c>
      <c r="D631" s="10" t="s">
        <v>19</v>
      </c>
      <c r="E631" s="12">
        <v>42131</v>
      </c>
      <c r="F631" s="31">
        <v>168.95</v>
      </c>
      <c r="G631" s="13">
        <v>3</v>
      </c>
      <c r="H631" s="31">
        <f t="shared" si="11"/>
        <v>506.84999999999997</v>
      </c>
      <c r="I631" s="19"/>
    </row>
    <row r="632" spans="1:9" x14ac:dyDescent="0.3">
      <c r="A632" s="17" t="s">
        <v>37</v>
      </c>
      <c r="B632" s="10" t="s">
        <v>25</v>
      </c>
      <c r="C632" s="11" t="s">
        <v>14</v>
      </c>
      <c r="D632" s="10" t="s">
        <v>22</v>
      </c>
      <c r="E632" s="12">
        <v>41840</v>
      </c>
      <c r="F632" s="31">
        <v>340.95</v>
      </c>
      <c r="G632" s="13">
        <v>13</v>
      </c>
      <c r="H632" s="31">
        <f t="shared" si="11"/>
        <v>4432.3499999999995</v>
      </c>
      <c r="I632" s="19"/>
    </row>
    <row r="633" spans="1:9" x14ac:dyDescent="0.3">
      <c r="A633" s="9" t="s">
        <v>36</v>
      </c>
      <c r="B633" s="10" t="s">
        <v>24</v>
      </c>
      <c r="C633" s="11" t="s">
        <v>15</v>
      </c>
      <c r="D633" s="10" t="s">
        <v>18</v>
      </c>
      <c r="E633" s="12">
        <v>41689</v>
      </c>
      <c r="F633" s="31">
        <v>79.989999999999995</v>
      </c>
      <c r="G633" s="13">
        <v>20</v>
      </c>
      <c r="H633" s="31">
        <f t="shared" si="11"/>
        <v>1599.8</v>
      </c>
      <c r="I633" s="19"/>
    </row>
    <row r="634" spans="1:9" x14ac:dyDescent="0.3">
      <c r="A634" s="9" t="s">
        <v>46</v>
      </c>
      <c r="B634" s="10" t="s">
        <v>25</v>
      </c>
      <c r="C634" s="11" t="s">
        <v>16</v>
      </c>
      <c r="D634" s="10" t="s">
        <v>19</v>
      </c>
      <c r="E634" s="12">
        <v>42143</v>
      </c>
      <c r="F634" s="31">
        <v>340.95</v>
      </c>
      <c r="G634" s="13">
        <v>8</v>
      </c>
      <c r="H634" s="31">
        <f t="shared" si="11"/>
        <v>2727.6</v>
      </c>
      <c r="I634" s="19"/>
    </row>
    <row r="635" spans="1:9" x14ac:dyDescent="0.3">
      <c r="A635" s="9" t="s">
        <v>40</v>
      </c>
      <c r="B635" s="10" t="s">
        <v>26</v>
      </c>
      <c r="C635" s="11" t="s">
        <v>17</v>
      </c>
      <c r="D635" s="10" t="s">
        <v>21</v>
      </c>
      <c r="E635" s="12">
        <v>42018</v>
      </c>
      <c r="F635" s="31">
        <v>168.95</v>
      </c>
      <c r="G635" s="13">
        <v>15</v>
      </c>
      <c r="H635" s="31">
        <f t="shared" si="11"/>
        <v>2534.25</v>
      </c>
      <c r="I635" s="19"/>
    </row>
    <row r="636" spans="1:9" x14ac:dyDescent="0.3">
      <c r="A636" s="17" t="s">
        <v>43</v>
      </c>
      <c r="B636" s="10" t="s">
        <v>23</v>
      </c>
      <c r="C636" s="11" t="s">
        <v>16</v>
      </c>
      <c r="D636" s="10" t="s">
        <v>21</v>
      </c>
      <c r="E636" s="12">
        <v>42106</v>
      </c>
      <c r="F636" s="31">
        <v>340.95</v>
      </c>
      <c r="G636" s="13">
        <v>7</v>
      </c>
      <c r="H636" s="31">
        <f t="shared" si="11"/>
        <v>2386.65</v>
      </c>
      <c r="I636" s="19"/>
    </row>
    <row r="637" spans="1:9" x14ac:dyDescent="0.3">
      <c r="A637" s="9" t="s">
        <v>0</v>
      </c>
      <c r="B637" s="10" t="s">
        <v>24</v>
      </c>
      <c r="C637" s="11" t="s">
        <v>14</v>
      </c>
      <c r="D637" s="10" t="s">
        <v>19</v>
      </c>
      <c r="E637" s="12">
        <v>42130</v>
      </c>
      <c r="F637" s="31">
        <v>79.989999999999995</v>
      </c>
      <c r="G637" s="13">
        <v>11</v>
      </c>
      <c r="H637" s="31">
        <f t="shared" si="11"/>
        <v>879.89</v>
      </c>
      <c r="I637" s="19"/>
    </row>
    <row r="638" spans="1:9" x14ac:dyDescent="0.3">
      <c r="A638" s="9" t="s">
        <v>36</v>
      </c>
      <c r="B638" s="10" t="s">
        <v>27</v>
      </c>
      <c r="C638" s="11" t="s">
        <v>15</v>
      </c>
      <c r="D638" s="10" t="s">
        <v>18</v>
      </c>
      <c r="E638" s="12">
        <v>42361</v>
      </c>
      <c r="F638" s="31">
        <v>799.95</v>
      </c>
      <c r="G638" s="13">
        <v>9</v>
      </c>
      <c r="H638" s="31">
        <f t="shared" si="11"/>
        <v>7199.55</v>
      </c>
      <c r="I638" s="19"/>
    </row>
    <row r="639" spans="1:9" x14ac:dyDescent="0.3">
      <c r="A639" s="17" t="s">
        <v>45</v>
      </c>
      <c r="B639" s="10" t="s">
        <v>27</v>
      </c>
      <c r="C639" s="11" t="s">
        <v>15</v>
      </c>
      <c r="D639" s="10" t="s">
        <v>21</v>
      </c>
      <c r="E639" s="12">
        <v>41714</v>
      </c>
      <c r="F639" s="31">
        <v>799.95</v>
      </c>
      <c r="G639" s="13">
        <v>11</v>
      </c>
      <c r="H639" s="31">
        <f t="shared" si="11"/>
        <v>8799.4500000000007</v>
      </c>
      <c r="I639" s="19"/>
    </row>
    <row r="640" spans="1:9" x14ac:dyDescent="0.3">
      <c r="A640" s="9" t="s">
        <v>46</v>
      </c>
      <c r="B640" s="10" t="s">
        <v>23</v>
      </c>
      <c r="C640" s="11" t="s">
        <v>16</v>
      </c>
      <c r="D640" s="10" t="s">
        <v>22</v>
      </c>
      <c r="E640" s="12">
        <v>42249</v>
      </c>
      <c r="F640" s="31">
        <v>340.95</v>
      </c>
      <c r="G640" s="13">
        <v>5</v>
      </c>
      <c r="H640" s="31">
        <f t="shared" si="11"/>
        <v>1704.75</v>
      </c>
      <c r="I640" s="19"/>
    </row>
    <row r="641" spans="1:9" x14ac:dyDescent="0.3">
      <c r="A641" s="17" t="s">
        <v>37</v>
      </c>
      <c r="B641" s="10" t="s">
        <v>23</v>
      </c>
      <c r="C641" s="11" t="s">
        <v>14</v>
      </c>
      <c r="D641" s="10" t="s">
        <v>18</v>
      </c>
      <c r="E641" s="12">
        <v>42106</v>
      </c>
      <c r="F641" s="31">
        <v>340.95</v>
      </c>
      <c r="G641" s="13">
        <v>15</v>
      </c>
      <c r="H641" s="31">
        <f t="shared" si="11"/>
        <v>5114.25</v>
      </c>
      <c r="I641" s="19"/>
    </row>
    <row r="642" spans="1:9" x14ac:dyDescent="0.3">
      <c r="A642" s="17" t="s">
        <v>43</v>
      </c>
      <c r="B642" s="10" t="s">
        <v>23</v>
      </c>
      <c r="C642" s="11" t="s">
        <v>16</v>
      </c>
      <c r="D642" s="10" t="s">
        <v>22</v>
      </c>
      <c r="E642" s="12">
        <v>42168</v>
      </c>
      <c r="F642" s="31">
        <v>340.95</v>
      </c>
      <c r="G642" s="13">
        <v>11</v>
      </c>
      <c r="H642" s="31">
        <f t="shared" ref="H642:H705" si="12">F642*G642</f>
        <v>3750.45</v>
      </c>
      <c r="I642" s="19"/>
    </row>
    <row r="643" spans="1:9" x14ac:dyDescent="0.3">
      <c r="A643" s="17" t="s">
        <v>45</v>
      </c>
      <c r="B643" s="10" t="s">
        <v>24</v>
      </c>
      <c r="C643" s="11" t="s">
        <v>15</v>
      </c>
      <c r="D643" s="10" t="s">
        <v>18</v>
      </c>
      <c r="E643" s="12">
        <v>41689</v>
      </c>
      <c r="F643" s="31">
        <v>79.989999999999995</v>
      </c>
      <c r="G643" s="13">
        <v>15</v>
      </c>
      <c r="H643" s="31">
        <f t="shared" si="12"/>
        <v>1199.8499999999999</v>
      </c>
      <c r="I643" s="19"/>
    </row>
    <row r="644" spans="1:9" x14ac:dyDescent="0.3">
      <c r="A644" s="9" t="s">
        <v>36</v>
      </c>
      <c r="B644" s="10" t="s">
        <v>24</v>
      </c>
      <c r="C644" s="11" t="s">
        <v>15</v>
      </c>
      <c r="D644" s="10" t="s">
        <v>18</v>
      </c>
      <c r="E644" s="12">
        <v>41682</v>
      </c>
      <c r="F644" s="31">
        <v>79.989999999999995</v>
      </c>
      <c r="G644" s="13">
        <v>8</v>
      </c>
      <c r="H644" s="31">
        <f t="shared" si="12"/>
        <v>639.91999999999996</v>
      </c>
      <c r="I644" s="19"/>
    </row>
    <row r="645" spans="1:9" x14ac:dyDescent="0.3">
      <c r="A645" s="9" t="s">
        <v>36</v>
      </c>
      <c r="B645" s="10" t="s">
        <v>23</v>
      </c>
      <c r="C645" s="11" t="s">
        <v>15</v>
      </c>
      <c r="D645" s="10" t="s">
        <v>18</v>
      </c>
      <c r="E645" s="12">
        <v>41968</v>
      </c>
      <c r="F645" s="31">
        <v>340.95</v>
      </c>
      <c r="G645" s="13">
        <v>8</v>
      </c>
      <c r="H645" s="31">
        <f t="shared" si="12"/>
        <v>2727.6</v>
      </c>
      <c r="I645" s="19"/>
    </row>
    <row r="646" spans="1:9" x14ac:dyDescent="0.3">
      <c r="A646" s="9" t="s">
        <v>40</v>
      </c>
      <c r="B646" s="10" t="s">
        <v>26</v>
      </c>
      <c r="C646" s="11" t="s">
        <v>17</v>
      </c>
      <c r="D646" s="10" t="s">
        <v>19</v>
      </c>
      <c r="E646" s="12">
        <v>42276</v>
      </c>
      <c r="F646" s="31">
        <v>168.95</v>
      </c>
      <c r="G646" s="13">
        <v>10</v>
      </c>
      <c r="H646" s="31">
        <f t="shared" si="12"/>
        <v>1689.5</v>
      </c>
      <c r="I646" s="19"/>
    </row>
    <row r="647" spans="1:9" x14ac:dyDescent="0.3">
      <c r="A647" s="17" t="s">
        <v>43</v>
      </c>
      <c r="B647" s="10" t="s">
        <v>25</v>
      </c>
      <c r="C647" s="11" t="s">
        <v>16</v>
      </c>
      <c r="D647" s="10" t="s">
        <v>18</v>
      </c>
      <c r="E647" s="12">
        <v>42224</v>
      </c>
      <c r="F647" s="31">
        <v>340.95</v>
      </c>
      <c r="G647" s="13">
        <v>16</v>
      </c>
      <c r="H647" s="31">
        <f t="shared" si="12"/>
        <v>5455.2</v>
      </c>
      <c r="I647" s="19"/>
    </row>
    <row r="648" spans="1:9" x14ac:dyDescent="0.3">
      <c r="A648" s="9" t="s">
        <v>0</v>
      </c>
      <c r="B648" s="10" t="s">
        <v>24</v>
      </c>
      <c r="C648" s="11" t="s">
        <v>14</v>
      </c>
      <c r="D648" s="10" t="s">
        <v>20</v>
      </c>
      <c r="E648" s="12">
        <v>41935</v>
      </c>
      <c r="F648" s="31">
        <v>79.989999999999995</v>
      </c>
      <c r="G648" s="13">
        <v>12</v>
      </c>
      <c r="H648" s="31">
        <f t="shared" si="12"/>
        <v>959.87999999999988</v>
      </c>
      <c r="I648" s="19"/>
    </row>
    <row r="649" spans="1:9" x14ac:dyDescent="0.3">
      <c r="A649" s="9" t="s">
        <v>36</v>
      </c>
      <c r="B649" s="10" t="s">
        <v>23</v>
      </c>
      <c r="C649" s="11" t="s">
        <v>15</v>
      </c>
      <c r="D649" s="10" t="s">
        <v>20</v>
      </c>
      <c r="E649" s="12">
        <v>42271</v>
      </c>
      <c r="F649" s="31">
        <v>340.95</v>
      </c>
      <c r="G649" s="13">
        <v>10</v>
      </c>
      <c r="H649" s="31">
        <f t="shared" si="12"/>
        <v>3409.5</v>
      </c>
      <c r="I649" s="19"/>
    </row>
    <row r="650" spans="1:9" x14ac:dyDescent="0.3">
      <c r="A650" s="17" t="s">
        <v>41</v>
      </c>
      <c r="B650" s="10" t="s">
        <v>26</v>
      </c>
      <c r="C650" s="11" t="s">
        <v>17</v>
      </c>
      <c r="D650" s="10" t="s">
        <v>19</v>
      </c>
      <c r="E650" s="12">
        <v>41850</v>
      </c>
      <c r="F650" s="31">
        <v>168.95</v>
      </c>
      <c r="G650" s="13">
        <v>8</v>
      </c>
      <c r="H650" s="31">
        <f t="shared" si="12"/>
        <v>1351.6</v>
      </c>
      <c r="I650" s="19"/>
    </row>
    <row r="651" spans="1:9" x14ac:dyDescent="0.3">
      <c r="A651" s="17" t="s">
        <v>39</v>
      </c>
      <c r="B651" s="10" t="s">
        <v>27</v>
      </c>
      <c r="C651" s="11" t="s">
        <v>14</v>
      </c>
      <c r="D651" s="10" t="s">
        <v>19</v>
      </c>
      <c r="E651" s="12">
        <v>42278</v>
      </c>
      <c r="F651" s="31">
        <v>799.95</v>
      </c>
      <c r="G651" s="13">
        <v>11</v>
      </c>
      <c r="H651" s="31">
        <f t="shared" si="12"/>
        <v>8799.4500000000007</v>
      </c>
      <c r="I651" s="19"/>
    </row>
    <row r="652" spans="1:9" x14ac:dyDescent="0.3">
      <c r="A652" s="17" t="s">
        <v>45</v>
      </c>
      <c r="B652" s="10" t="s">
        <v>24</v>
      </c>
      <c r="C652" s="11" t="s">
        <v>15</v>
      </c>
      <c r="D652" s="10" t="s">
        <v>22</v>
      </c>
      <c r="E652" s="12">
        <v>42025</v>
      </c>
      <c r="F652" s="31">
        <v>79.989999999999995</v>
      </c>
      <c r="G652" s="13">
        <v>14</v>
      </c>
      <c r="H652" s="31">
        <f t="shared" si="12"/>
        <v>1119.8599999999999</v>
      </c>
      <c r="I652" s="19"/>
    </row>
    <row r="653" spans="1:9" x14ac:dyDescent="0.3">
      <c r="A653" s="17" t="s">
        <v>37</v>
      </c>
      <c r="B653" s="10" t="s">
        <v>24</v>
      </c>
      <c r="C653" s="11" t="s">
        <v>14</v>
      </c>
      <c r="D653" s="10" t="s">
        <v>22</v>
      </c>
      <c r="E653" s="12">
        <v>41902</v>
      </c>
      <c r="F653" s="31">
        <v>79.989999999999995</v>
      </c>
      <c r="G653" s="13">
        <v>14</v>
      </c>
      <c r="H653" s="31">
        <f t="shared" si="12"/>
        <v>1119.8599999999999</v>
      </c>
      <c r="I653" s="19"/>
    </row>
    <row r="654" spans="1:9" x14ac:dyDescent="0.3">
      <c r="A654" s="9" t="s">
        <v>42</v>
      </c>
      <c r="B654" s="10" t="s">
        <v>24</v>
      </c>
      <c r="C654" s="11" t="s">
        <v>15</v>
      </c>
      <c r="D654" s="10" t="s">
        <v>22</v>
      </c>
      <c r="E654" s="12">
        <v>41965</v>
      </c>
      <c r="F654" s="31">
        <v>79.989999999999995</v>
      </c>
      <c r="G654" s="13">
        <v>11</v>
      </c>
      <c r="H654" s="31">
        <f t="shared" si="12"/>
        <v>879.89</v>
      </c>
      <c r="I654" s="19"/>
    </row>
    <row r="655" spans="1:9" x14ac:dyDescent="0.3">
      <c r="A655" s="9" t="s">
        <v>36</v>
      </c>
      <c r="B655" s="10" t="s">
        <v>24</v>
      </c>
      <c r="C655" s="11" t="s">
        <v>15</v>
      </c>
      <c r="D655" s="10" t="s">
        <v>18</v>
      </c>
      <c r="E655" s="12">
        <v>41877</v>
      </c>
      <c r="F655" s="31">
        <v>79.989999999999995</v>
      </c>
      <c r="G655" s="13">
        <v>12</v>
      </c>
      <c r="H655" s="31">
        <f t="shared" si="12"/>
        <v>959.87999999999988</v>
      </c>
      <c r="I655" s="19"/>
    </row>
    <row r="656" spans="1:9" x14ac:dyDescent="0.3">
      <c r="A656" s="17" t="s">
        <v>39</v>
      </c>
      <c r="B656" s="10" t="s">
        <v>26</v>
      </c>
      <c r="C656" s="11" t="s">
        <v>14</v>
      </c>
      <c r="D656" s="10" t="s">
        <v>20</v>
      </c>
      <c r="E656" s="12">
        <v>42101</v>
      </c>
      <c r="F656" s="31">
        <v>168.95</v>
      </c>
      <c r="G656" s="13">
        <v>9</v>
      </c>
      <c r="H656" s="31">
        <f t="shared" si="12"/>
        <v>1520.55</v>
      </c>
      <c r="I656" s="19"/>
    </row>
    <row r="657" spans="1:9" x14ac:dyDescent="0.3">
      <c r="A657" s="17" t="s">
        <v>44</v>
      </c>
      <c r="B657" s="10" t="s">
        <v>24</v>
      </c>
      <c r="C657" s="11" t="s">
        <v>14</v>
      </c>
      <c r="D657" s="10" t="s">
        <v>22</v>
      </c>
      <c r="E657" s="12">
        <v>42112</v>
      </c>
      <c r="F657" s="31">
        <v>79.989999999999995</v>
      </c>
      <c r="G657" s="13">
        <v>7</v>
      </c>
      <c r="H657" s="31">
        <f t="shared" si="12"/>
        <v>559.92999999999995</v>
      </c>
      <c r="I657" s="19"/>
    </row>
    <row r="658" spans="1:9" x14ac:dyDescent="0.3">
      <c r="A658" s="17" t="s">
        <v>44</v>
      </c>
      <c r="B658" s="10" t="s">
        <v>23</v>
      </c>
      <c r="C658" s="11" t="s">
        <v>14</v>
      </c>
      <c r="D658" s="10" t="s">
        <v>18</v>
      </c>
      <c r="E658" s="12">
        <v>42033</v>
      </c>
      <c r="F658" s="31">
        <v>340.95</v>
      </c>
      <c r="G658" s="13">
        <v>17</v>
      </c>
      <c r="H658" s="31">
        <f t="shared" si="12"/>
        <v>5796.15</v>
      </c>
      <c r="I658" s="19"/>
    </row>
    <row r="659" spans="1:9" x14ac:dyDescent="0.3">
      <c r="A659" s="17" t="s">
        <v>37</v>
      </c>
      <c r="B659" s="10" t="s">
        <v>24</v>
      </c>
      <c r="C659" s="11" t="s">
        <v>14</v>
      </c>
      <c r="D659" s="10" t="s">
        <v>21</v>
      </c>
      <c r="E659" s="12">
        <v>42193</v>
      </c>
      <c r="F659" s="31">
        <v>79.989999999999995</v>
      </c>
      <c r="G659" s="13">
        <v>3</v>
      </c>
      <c r="H659" s="31">
        <f t="shared" si="12"/>
        <v>239.96999999999997</v>
      </c>
      <c r="I659" s="19"/>
    </row>
    <row r="660" spans="1:9" x14ac:dyDescent="0.3">
      <c r="A660" s="17" t="s">
        <v>44</v>
      </c>
      <c r="B660" s="10" t="s">
        <v>26</v>
      </c>
      <c r="C660" s="11" t="s">
        <v>14</v>
      </c>
      <c r="D660" s="10" t="s">
        <v>20</v>
      </c>
      <c r="E660" s="12">
        <v>42046</v>
      </c>
      <c r="F660" s="31">
        <v>168.95</v>
      </c>
      <c r="G660" s="13">
        <v>7</v>
      </c>
      <c r="H660" s="31">
        <f t="shared" si="12"/>
        <v>1182.6499999999999</v>
      </c>
      <c r="I660" s="19"/>
    </row>
    <row r="661" spans="1:9" x14ac:dyDescent="0.3">
      <c r="A661" s="17" t="s">
        <v>39</v>
      </c>
      <c r="B661" s="10" t="s">
        <v>27</v>
      </c>
      <c r="C661" s="11" t="s">
        <v>14</v>
      </c>
      <c r="D661" s="10" t="s">
        <v>18</v>
      </c>
      <c r="E661" s="12">
        <v>42141</v>
      </c>
      <c r="F661" s="31">
        <v>799.95</v>
      </c>
      <c r="G661" s="13">
        <v>14</v>
      </c>
      <c r="H661" s="31">
        <f t="shared" si="12"/>
        <v>11199.300000000001</v>
      </c>
      <c r="I661" s="19"/>
    </row>
    <row r="662" spans="1:9" x14ac:dyDescent="0.3">
      <c r="A662" s="17" t="s">
        <v>41</v>
      </c>
      <c r="B662" s="10" t="s">
        <v>24</v>
      </c>
      <c r="C662" s="11" t="s">
        <v>17</v>
      </c>
      <c r="D662" s="10" t="s">
        <v>21</v>
      </c>
      <c r="E662" s="12">
        <v>41928</v>
      </c>
      <c r="F662" s="31">
        <v>79.989999999999995</v>
      </c>
      <c r="G662" s="13">
        <v>4</v>
      </c>
      <c r="H662" s="31">
        <f t="shared" si="12"/>
        <v>319.95999999999998</v>
      </c>
      <c r="I662" s="19"/>
    </row>
    <row r="663" spans="1:9" x14ac:dyDescent="0.3">
      <c r="A663" s="17" t="s">
        <v>44</v>
      </c>
      <c r="B663" s="10" t="s">
        <v>26</v>
      </c>
      <c r="C663" s="11" t="s">
        <v>14</v>
      </c>
      <c r="D663" s="10" t="s">
        <v>22</v>
      </c>
      <c r="E663" s="12">
        <v>41710</v>
      </c>
      <c r="F663" s="31">
        <v>168.95</v>
      </c>
      <c r="G663" s="13">
        <v>15</v>
      </c>
      <c r="H663" s="31">
        <f t="shared" si="12"/>
        <v>2534.25</v>
      </c>
      <c r="I663" s="19"/>
    </row>
    <row r="664" spans="1:9" x14ac:dyDescent="0.3">
      <c r="A664" s="9" t="s">
        <v>42</v>
      </c>
      <c r="B664" s="10" t="s">
        <v>23</v>
      </c>
      <c r="C664" s="11" t="s">
        <v>15</v>
      </c>
      <c r="D664" s="10" t="s">
        <v>22</v>
      </c>
      <c r="E664" s="12">
        <v>41963</v>
      </c>
      <c r="F664" s="31">
        <v>340.95</v>
      </c>
      <c r="G664" s="13">
        <v>7</v>
      </c>
      <c r="H664" s="31">
        <f t="shared" si="12"/>
        <v>2386.65</v>
      </c>
      <c r="I664" s="19"/>
    </row>
    <row r="665" spans="1:9" x14ac:dyDescent="0.3">
      <c r="A665" s="9" t="s">
        <v>36</v>
      </c>
      <c r="B665" s="10" t="s">
        <v>25</v>
      </c>
      <c r="C665" s="11" t="s">
        <v>15</v>
      </c>
      <c r="D665" s="10" t="s">
        <v>22</v>
      </c>
      <c r="E665" s="12">
        <v>42368</v>
      </c>
      <c r="F665" s="31">
        <v>340.95</v>
      </c>
      <c r="G665" s="13">
        <v>14</v>
      </c>
      <c r="H665" s="31">
        <f t="shared" si="12"/>
        <v>4773.3</v>
      </c>
      <c r="I665" s="19"/>
    </row>
    <row r="666" spans="1:9" x14ac:dyDescent="0.3">
      <c r="A666" s="17" t="s">
        <v>43</v>
      </c>
      <c r="B666" s="10" t="s">
        <v>23</v>
      </c>
      <c r="C666" s="11" t="s">
        <v>16</v>
      </c>
      <c r="D666" s="10" t="s">
        <v>21</v>
      </c>
      <c r="E666" s="12">
        <v>42097</v>
      </c>
      <c r="F666" s="31">
        <v>340.95</v>
      </c>
      <c r="G666" s="13">
        <v>6</v>
      </c>
      <c r="H666" s="31">
        <f t="shared" si="12"/>
        <v>2045.6999999999998</v>
      </c>
      <c r="I666" s="19"/>
    </row>
    <row r="667" spans="1:9" x14ac:dyDescent="0.3">
      <c r="A667" s="9" t="s">
        <v>38</v>
      </c>
      <c r="B667" s="10" t="s">
        <v>25</v>
      </c>
      <c r="C667" s="11" t="s">
        <v>16</v>
      </c>
      <c r="D667" s="10" t="s">
        <v>20</v>
      </c>
      <c r="E667" s="12">
        <v>41731</v>
      </c>
      <c r="F667" s="31">
        <v>340.95</v>
      </c>
      <c r="G667" s="13">
        <v>9</v>
      </c>
      <c r="H667" s="31">
        <f t="shared" si="12"/>
        <v>3068.5499999999997</v>
      </c>
      <c r="I667" s="19"/>
    </row>
    <row r="668" spans="1:9" x14ac:dyDescent="0.3">
      <c r="A668" s="9" t="s">
        <v>38</v>
      </c>
      <c r="B668" s="10" t="s">
        <v>23</v>
      </c>
      <c r="C668" s="11" t="s">
        <v>15</v>
      </c>
      <c r="D668" s="10" t="s">
        <v>22</v>
      </c>
      <c r="E668" s="12">
        <v>42126</v>
      </c>
      <c r="F668" s="31">
        <v>340.95</v>
      </c>
      <c r="G668" s="13">
        <v>4</v>
      </c>
      <c r="H668" s="31">
        <f t="shared" si="12"/>
        <v>1363.8</v>
      </c>
      <c r="I668" s="19"/>
    </row>
    <row r="669" spans="1:9" x14ac:dyDescent="0.3">
      <c r="A669" s="9" t="s">
        <v>46</v>
      </c>
      <c r="B669" s="10" t="s">
        <v>24</v>
      </c>
      <c r="C669" s="11" t="s">
        <v>16</v>
      </c>
      <c r="D669" s="10" t="s">
        <v>19</v>
      </c>
      <c r="E669" s="12">
        <v>42098</v>
      </c>
      <c r="F669" s="31">
        <v>79.989999999999995</v>
      </c>
      <c r="G669" s="13">
        <v>2</v>
      </c>
      <c r="H669" s="31">
        <f t="shared" si="12"/>
        <v>159.97999999999999</v>
      </c>
      <c r="I669" s="19"/>
    </row>
    <row r="670" spans="1:9" x14ac:dyDescent="0.3">
      <c r="A670" s="9" t="s">
        <v>38</v>
      </c>
      <c r="B670" s="10" t="s">
        <v>26</v>
      </c>
      <c r="C670" s="11" t="s">
        <v>15</v>
      </c>
      <c r="D670" s="10" t="s">
        <v>22</v>
      </c>
      <c r="E670" s="12">
        <v>42319</v>
      </c>
      <c r="F670" s="31">
        <v>168.95</v>
      </c>
      <c r="G670" s="13">
        <v>13</v>
      </c>
      <c r="H670" s="31">
        <f t="shared" si="12"/>
        <v>2196.35</v>
      </c>
      <c r="I670" s="19"/>
    </row>
    <row r="671" spans="1:9" x14ac:dyDescent="0.3">
      <c r="A671" s="17" t="s">
        <v>37</v>
      </c>
      <c r="B671" s="10" t="s">
        <v>23</v>
      </c>
      <c r="C671" s="11" t="s">
        <v>14</v>
      </c>
      <c r="D671" s="10" t="s">
        <v>20</v>
      </c>
      <c r="E671" s="12">
        <v>42154</v>
      </c>
      <c r="F671" s="31">
        <v>340.95</v>
      </c>
      <c r="G671" s="13">
        <v>9</v>
      </c>
      <c r="H671" s="31">
        <f t="shared" si="12"/>
        <v>3068.5499999999997</v>
      </c>
      <c r="I671" s="19"/>
    </row>
    <row r="672" spans="1:9" x14ac:dyDescent="0.3">
      <c r="A672" s="9" t="s">
        <v>46</v>
      </c>
      <c r="B672" s="10" t="s">
        <v>27</v>
      </c>
      <c r="C672" s="11" t="s">
        <v>16</v>
      </c>
      <c r="D672" s="10" t="s">
        <v>18</v>
      </c>
      <c r="E672" s="12">
        <v>42124</v>
      </c>
      <c r="F672" s="31">
        <v>799.95</v>
      </c>
      <c r="G672" s="13">
        <v>11</v>
      </c>
      <c r="H672" s="31">
        <f t="shared" si="12"/>
        <v>8799.4500000000007</v>
      </c>
      <c r="I672" s="19"/>
    </row>
    <row r="673" spans="1:9" x14ac:dyDescent="0.3">
      <c r="A673" s="9" t="s">
        <v>36</v>
      </c>
      <c r="B673" s="10" t="s">
        <v>26</v>
      </c>
      <c r="C673" s="11" t="s">
        <v>15</v>
      </c>
      <c r="D673" s="10" t="s">
        <v>18</v>
      </c>
      <c r="E673" s="12">
        <v>42161</v>
      </c>
      <c r="F673" s="31">
        <v>168.95</v>
      </c>
      <c r="G673" s="13">
        <v>6</v>
      </c>
      <c r="H673" s="31">
        <f t="shared" si="12"/>
        <v>1013.6999999999999</v>
      </c>
      <c r="I673" s="19"/>
    </row>
    <row r="674" spans="1:9" x14ac:dyDescent="0.3">
      <c r="A674" s="9" t="s">
        <v>40</v>
      </c>
      <c r="B674" s="10" t="s">
        <v>24</v>
      </c>
      <c r="C674" s="11" t="s">
        <v>17</v>
      </c>
      <c r="D674" s="10" t="s">
        <v>21</v>
      </c>
      <c r="E674" s="12">
        <v>42225</v>
      </c>
      <c r="F674" s="31">
        <v>79.989999999999995</v>
      </c>
      <c r="G674" s="13">
        <v>8</v>
      </c>
      <c r="H674" s="31">
        <f t="shared" si="12"/>
        <v>639.91999999999996</v>
      </c>
      <c r="I674" s="19"/>
    </row>
    <row r="675" spans="1:9" x14ac:dyDescent="0.3">
      <c r="A675" s="17" t="s">
        <v>37</v>
      </c>
      <c r="B675" s="10" t="s">
        <v>25</v>
      </c>
      <c r="C675" s="11" t="s">
        <v>14</v>
      </c>
      <c r="D675" s="10" t="s">
        <v>22</v>
      </c>
      <c r="E675" s="12">
        <v>42277</v>
      </c>
      <c r="F675" s="31">
        <v>340.95</v>
      </c>
      <c r="G675" s="13">
        <v>3</v>
      </c>
      <c r="H675" s="31">
        <f t="shared" si="12"/>
        <v>1022.8499999999999</v>
      </c>
      <c r="I675" s="19"/>
    </row>
    <row r="676" spans="1:9" x14ac:dyDescent="0.3">
      <c r="A676" s="9" t="s">
        <v>46</v>
      </c>
      <c r="B676" s="10" t="s">
        <v>24</v>
      </c>
      <c r="C676" s="11" t="s">
        <v>16</v>
      </c>
      <c r="D676" s="10" t="s">
        <v>18</v>
      </c>
      <c r="E676" s="12">
        <v>41951</v>
      </c>
      <c r="F676" s="31">
        <v>79.989999999999995</v>
      </c>
      <c r="G676" s="13">
        <v>9</v>
      </c>
      <c r="H676" s="31">
        <f t="shared" si="12"/>
        <v>719.91</v>
      </c>
      <c r="I676" s="19"/>
    </row>
    <row r="677" spans="1:9" x14ac:dyDescent="0.3">
      <c r="A677" s="9" t="s">
        <v>36</v>
      </c>
      <c r="B677" s="10" t="s">
        <v>27</v>
      </c>
      <c r="C677" s="11" t="s">
        <v>15</v>
      </c>
      <c r="D677" s="10" t="s">
        <v>19</v>
      </c>
      <c r="E677" s="12">
        <v>41786</v>
      </c>
      <c r="F677" s="31">
        <v>799.95</v>
      </c>
      <c r="G677" s="13">
        <v>10</v>
      </c>
      <c r="H677" s="31">
        <f t="shared" si="12"/>
        <v>7999.5</v>
      </c>
      <c r="I677" s="19"/>
    </row>
    <row r="678" spans="1:9" x14ac:dyDescent="0.3">
      <c r="A678" s="9" t="s">
        <v>46</v>
      </c>
      <c r="B678" s="10" t="s">
        <v>27</v>
      </c>
      <c r="C678" s="11" t="s">
        <v>16</v>
      </c>
      <c r="D678" s="10" t="s">
        <v>19</v>
      </c>
      <c r="E678" s="12">
        <v>41963</v>
      </c>
      <c r="F678" s="31">
        <v>799.95</v>
      </c>
      <c r="G678" s="13">
        <v>5</v>
      </c>
      <c r="H678" s="31">
        <f t="shared" si="12"/>
        <v>3999.75</v>
      </c>
      <c r="I678" s="19"/>
    </row>
    <row r="679" spans="1:9" x14ac:dyDescent="0.3">
      <c r="A679" s="9" t="s">
        <v>42</v>
      </c>
      <c r="B679" s="10" t="s">
        <v>25</v>
      </c>
      <c r="C679" s="11" t="s">
        <v>15</v>
      </c>
      <c r="D679" s="10" t="s">
        <v>20</v>
      </c>
      <c r="E679" s="12">
        <v>41773</v>
      </c>
      <c r="F679" s="31">
        <v>340.95</v>
      </c>
      <c r="G679" s="13">
        <v>11</v>
      </c>
      <c r="H679" s="31">
        <f t="shared" si="12"/>
        <v>3750.45</v>
      </c>
      <c r="I679" s="19"/>
    </row>
    <row r="680" spans="1:9" x14ac:dyDescent="0.3">
      <c r="A680" s="9" t="s">
        <v>38</v>
      </c>
      <c r="B680" s="10" t="s">
        <v>26</v>
      </c>
      <c r="C680" s="11" t="s">
        <v>15</v>
      </c>
      <c r="D680" s="10" t="s">
        <v>18</v>
      </c>
      <c r="E680" s="12">
        <v>42158</v>
      </c>
      <c r="F680" s="31">
        <v>168.95</v>
      </c>
      <c r="G680" s="13">
        <v>14</v>
      </c>
      <c r="H680" s="31">
        <f t="shared" si="12"/>
        <v>2365.2999999999997</v>
      </c>
      <c r="I680" s="19"/>
    </row>
    <row r="681" spans="1:9" x14ac:dyDescent="0.3">
      <c r="A681" s="17" t="s">
        <v>45</v>
      </c>
      <c r="B681" s="10" t="s">
        <v>23</v>
      </c>
      <c r="C681" s="11" t="s">
        <v>15</v>
      </c>
      <c r="D681" s="10" t="s">
        <v>21</v>
      </c>
      <c r="E681" s="12">
        <v>42174</v>
      </c>
      <c r="F681" s="31">
        <v>340.95</v>
      </c>
      <c r="G681" s="13">
        <v>3</v>
      </c>
      <c r="H681" s="31">
        <f t="shared" si="12"/>
        <v>1022.8499999999999</v>
      </c>
      <c r="I681" s="19"/>
    </row>
    <row r="682" spans="1:9" x14ac:dyDescent="0.3">
      <c r="A682" s="17" t="s">
        <v>45</v>
      </c>
      <c r="B682" s="10" t="s">
        <v>26</v>
      </c>
      <c r="C682" s="11" t="s">
        <v>15</v>
      </c>
      <c r="D682" s="10" t="s">
        <v>19</v>
      </c>
      <c r="E682" s="12">
        <v>41738</v>
      </c>
      <c r="F682" s="31">
        <v>168.95</v>
      </c>
      <c r="G682" s="13">
        <v>13</v>
      </c>
      <c r="H682" s="31">
        <f t="shared" si="12"/>
        <v>2196.35</v>
      </c>
      <c r="I682" s="19"/>
    </row>
    <row r="683" spans="1:9" x14ac:dyDescent="0.3">
      <c r="A683" s="17" t="s">
        <v>37</v>
      </c>
      <c r="B683" s="10" t="s">
        <v>27</v>
      </c>
      <c r="C683" s="11" t="s">
        <v>14</v>
      </c>
      <c r="D683" s="10" t="s">
        <v>21</v>
      </c>
      <c r="E683" s="12">
        <v>41698</v>
      </c>
      <c r="F683" s="31">
        <v>799.95</v>
      </c>
      <c r="G683" s="13">
        <v>9</v>
      </c>
      <c r="H683" s="31">
        <f t="shared" si="12"/>
        <v>7199.55</v>
      </c>
      <c r="I683" s="19"/>
    </row>
    <row r="684" spans="1:9" x14ac:dyDescent="0.3">
      <c r="A684" s="17" t="s">
        <v>37</v>
      </c>
      <c r="B684" s="10" t="s">
        <v>24</v>
      </c>
      <c r="C684" s="11" t="s">
        <v>14</v>
      </c>
      <c r="D684" s="10" t="s">
        <v>19</v>
      </c>
      <c r="E684" s="12">
        <v>42327</v>
      </c>
      <c r="F684" s="31">
        <v>79.989999999999995</v>
      </c>
      <c r="G684" s="13">
        <v>12</v>
      </c>
      <c r="H684" s="31">
        <f t="shared" si="12"/>
        <v>959.87999999999988</v>
      </c>
      <c r="I684" s="19"/>
    </row>
    <row r="685" spans="1:9" x14ac:dyDescent="0.3">
      <c r="A685" s="9" t="s">
        <v>40</v>
      </c>
      <c r="B685" s="10" t="s">
        <v>24</v>
      </c>
      <c r="C685" s="11" t="s">
        <v>17</v>
      </c>
      <c r="D685" s="10" t="s">
        <v>20</v>
      </c>
      <c r="E685" s="12">
        <v>42241</v>
      </c>
      <c r="F685" s="31">
        <v>79.989999999999995</v>
      </c>
      <c r="G685" s="13">
        <v>8</v>
      </c>
      <c r="H685" s="31">
        <f t="shared" si="12"/>
        <v>639.91999999999996</v>
      </c>
      <c r="I685" s="19"/>
    </row>
    <row r="686" spans="1:9" x14ac:dyDescent="0.3">
      <c r="A686" s="17" t="s">
        <v>39</v>
      </c>
      <c r="B686" s="10" t="s">
        <v>27</v>
      </c>
      <c r="C686" s="11" t="s">
        <v>14</v>
      </c>
      <c r="D686" s="10" t="s">
        <v>18</v>
      </c>
      <c r="E686" s="12">
        <v>41998</v>
      </c>
      <c r="F686" s="31">
        <v>799.95</v>
      </c>
      <c r="G686" s="13">
        <v>20</v>
      </c>
      <c r="H686" s="31">
        <f t="shared" si="12"/>
        <v>15999</v>
      </c>
      <c r="I686" s="19"/>
    </row>
    <row r="687" spans="1:9" x14ac:dyDescent="0.3">
      <c r="A687" s="9" t="s">
        <v>38</v>
      </c>
      <c r="B687" s="10" t="s">
        <v>25</v>
      </c>
      <c r="C687" s="11" t="s">
        <v>16</v>
      </c>
      <c r="D687" s="10" t="s">
        <v>21</v>
      </c>
      <c r="E687" s="12">
        <v>42161</v>
      </c>
      <c r="F687" s="31">
        <v>340.95</v>
      </c>
      <c r="G687" s="13">
        <v>2</v>
      </c>
      <c r="H687" s="31">
        <f t="shared" si="12"/>
        <v>681.9</v>
      </c>
      <c r="I687" s="19"/>
    </row>
    <row r="688" spans="1:9" x14ac:dyDescent="0.3">
      <c r="A688" s="17" t="s">
        <v>41</v>
      </c>
      <c r="B688" s="10" t="s">
        <v>27</v>
      </c>
      <c r="C688" s="11" t="s">
        <v>17</v>
      </c>
      <c r="D688" s="10" t="s">
        <v>21</v>
      </c>
      <c r="E688" s="12">
        <v>41934</v>
      </c>
      <c r="F688" s="31">
        <v>799.95</v>
      </c>
      <c r="G688" s="13">
        <v>13</v>
      </c>
      <c r="H688" s="31">
        <f t="shared" si="12"/>
        <v>10399.35</v>
      </c>
      <c r="I688" s="19"/>
    </row>
    <row r="689" spans="1:9" x14ac:dyDescent="0.3">
      <c r="A689" s="17" t="s">
        <v>43</v>
      </c>
      <c r="B689" s="10" t="s">
        <v>27</v>
      </c>
      <c r="C689" s="11" t="s">
        <v>16</v>
      </c>
      <c r="D689" s="10" t="s">
        <v>22</v>
      </c>
      <c r="E689" s="12">
        <v>41892</v>
      </c>
      <c r="F689" s="31">
        <v>799.95</v>
      </c>
      <c r="G689" s="13">
        <v>1</v>
      </c>
      <c r="H689" s="31">
        <f t="shared" si="12"/>
        <v>799.95</v>
      </c>
      <c r="I689" s="19"/>
    </row>
    <row r="690" spans="1:9" x14ac:dyDescent="0.3">
      <c r="A690" s="17" t="s">
        <v>45</v>
      </c>
      <c r="B690" s="10" t="s">
        <v>27</v>
      </c>
      <c r="C690" s="11" t="s">
        <v>15</v>
      </c>
      <c r="D690" s="10" t="s">
        <v>22</v>
      </c>
      <c r="E690" s="12">
        <v>41996</v>
      </c>
      <c r="F690" s="31">
        <v>799.95</v>
      </c>
      <c r="G690" s="13">
        <v>6</v>
      </c>
      <c r="H690" s="31">
        <f t="shared" si="12"/>
        <v>4799.7000000000007</v>
      </c>
      <c r="I690" s="19"/>
    </row>
    <row r="691" spans="1:9" x14ac:dyDescent="0.3">
      <c r="A691" s="17" t="s">
        <v>43</v>
      </c>
      <c r="B691" s="10" t="s">
        <v>23</v>
      </c>
      <c r="C691" s="11" t="s">
        <v>16</v>
      </c>
      <c r="D691" s="10" t="s">
        <v>20</v>
      </c>
      <c r="E691" s="12">
        <v>41779</v>
      </c>
      <c r="F691" s="31">
        <v>340.95</v>
      </c>
      <c r="G691" s="13">
        <v>15</v>
      </c>
      <c r="H691" s="31">
        <f t="shared" si="12"/>
        <v>5114.25</v>
      </c>
      <c r="I691" s="19"/>
    </row>
    <row r="692" spans="1:9" x14ac:dyDescent="0.3">
      <c r="A692" s="9" t="s">
        <v>0</v>
      </c>
      <c r="B692" s="10" t="s">
        <v>26</v>
      </c>
      <c r="C692" s="11" t="s">
        <v>14</v>
      </c>
      <c r="D692" s="10" t="s">
        <v>20</v>
      </c>
      <c r="E692" s="12">
        <v>41878</v>
      </c>
      <c r="F692" s="31">
        <v>168.95</v>
      </c>
      <c r="G692" s="13">
        <v>3</v>
      </c>
      <c r="H692" s="31">
        <f t="shared" si="12"/>
        <v>506.84999999999997</v>
      </c>
      <c r="I692" s="19"/>
    </row>
    <row r="693" spans="1:9" x14ac:dyDescent="0.3">
      <c r="A693" s="9" t="s">
        <v>36</v>
      </c>
      <c r="B693" s="10" t="s">
        <v>26</v>
      </c>
      <c r="C693" s="11" t="s">
        <v>15</v>
      </c>
      <c r="D693" s="10" t="s">
        <v>18</v>
      </c>
      <c r="E693" s="12">
        <v>42211</v>
      </c>
      <c r="F693" s="31">
        <v>168.95</v>
      </c>
      <c r="G693" s="13">
        <v>17</v>
      </c>
      <c r="H693" s="31">
        <f t="shared" si="12"/>
        <v>2872.1499999999996</v>
      </c>
      <c r="I693" s="19"/>
    </row>
    <row r="694" spans="1:9" x14ac:dyDescent="0.3">
      <c r="A694" s="9" t="s">
        <v>42</v>
      </c>
      <c r="B694" s="10" t="s">
        <v>26</v>
      </c>
      <c r="C694" s="11" t="s">
        <v>15</v>
      </c>
      <c r="D694" s="10" t="s">
        <v>22</v>
      </c>
      <c r="E694" s="12">
        <v>41718</v>
      </c>
      <c r="F694" s="31">
        <v>168.95</v>
      </c>
      <c r="G694" s="13">
        <v>12</v>
      </c>
      <c r="H694" s="31">
        <f t="shared" si="12"/>
        <v>2027.3999999999999</v>
      </c>
      <c r="I694" s="19"/>
    </row>
    <row r="695" spans="1:9" x14ac:dyDescent="0.3">
      <c r="A695" s="9" t="s">
        <v>36</v>
      </c>
      <c r="B695" s="10" t="s">
        <v>23</v>
      </c>
      <c r="C695" s="11" t="s">
        <v>15</v>
      </c>
      <c r="D695" s="10" t="s">
        <v>21</v>
      </c>
      <c r="E695" s="12">
        <v>41712</v>
      </c>
      <c r="F695" s="31">
        <v>340.95</v>
      </c>
      <c r="G695" s="13">
        <v>5</v>
      </c>
      <c r="H695" s="31">
        <f t="shared" si="12"/>
        <v>1704.75</v>
      </c>
      <c r="I695" s="19"/>
    </row>
    <row r="696" spans="1:9" x14ac:dyDescent="0.3">
      <c r="A696" s="9" t="s">
        <v>46</v>
      </c>
      <c r="B696" s="10" t="s">
        <v>24</v>
      </c>
      <c r="C696" s="11" t="s">
        <v>16</v>
      </c>
      <c r="D696" s="10" t="s">
        <v>21</v>
      </c>
      <c r="E696" s="12">
        <v>42018</v>
      </c>
      <c r="F696" s="31">
        <v>79.989999999999995</v>
      </c>
      <c r="G696" s="13">
        <v>12</v>
      </c>
      <c r="H696" s="31">
        <f t="shared" si="12"/>
        <v>959.87999999999988</v>
      </c>
      <c r="I696" s="19"/>
    </row>
    <row r="697" spans="1:9" x14ac:dyDescent="0.3">
      <c r="A697" s="17" t="s">
        <v>41</v>
      </c>
      <c r="B697" s="10" t="s">
        <v>24</v>
      </c>
      <c r="C697" s="11" t="s">
        <v>17</v>
      </c>
      <c r="D697" s="10" t="s">
        <v>18</v>
      </c>
      <c r="E697" s="12">
        <v>41887</v>
      </c>
      <c r="F697" s="31">
        <v>79.989999999999995</v>
      </c>
      <c r="G697" s="13">
        <v>11</v>
      </c>
      <c r="H697" s="31">
        <f t="shared" si="12"/>
        <v>879.89</v>
      </c>
      <c r="I697" s="19"/>
    </row>
    <row r="698" spans="1:9" x14ac:dyDescent="0.3">
      <c r="A698" s="9" t="s">
        <v>36</v>
      </c>
      <c r="B698" s="10" t="s">
        <v>24</v>
      </c>
      <c r="C698" s="11" t="s">
        <v>15</v>
      </c>
      <c r="D698" s="10" t="s">
        <v>18</v>
      </c>
      <c r="E698" s="12">
        <v>42005</v>
      </c>
      <c r="F698" s="31">
        <v>79.989999999999995</v>
      </c>
      <c r="G698" s="13">
        <v>9</v>
      </c>
      <c r="H698" s="31">
        <f t="shared" si="12"/>
        <v>719.91</v>
      </c>
      <c r="I698" s="19"/>
    </row>
    <row r="699" spans="1:9" x14ac:dyDescent="0.3">
      <c r="A699" s="17" t="s">
        <v>45</v>
      </c>
      <c r="B699" s="10" t="s">
        <v>27</v>
      </c>
      <c r="C699" s="11" t="s">
        <v>15</v>
      </c>
      <c r="D699" s="10" t="s">
        <v>18</v>
      </c>
      <c r="E699" s="12">
        <v>41833</v>
      </c>
      <c r="F699" s="31">
        <v>799.95</v>
      </c>
      <c r="G699" s="13">
        <v>14</v>
      </c>
      <c r="H699" s="31">
        <f t="shared" si="12"/>
        <v>11199.300000000001</v>
      </c>
      <c r="I699" s="19"/>
    </row>
    <row r="700" spans="1:9" x14ac:dyDescent="0.3">
      <c r="A700" s="17" t="s">
        <v>43</v>
      </c>
      <c r="B700" s="10" t="s">
        <v>23</v>
      </c>
      <c r="C700" s="11" t="s">
        <v>16</v>
      </c>
      <c r="D700" s="10" t="s">
        <v>22</v>
      </c>
      <c r="E700" s="12">
        <v>42203</v>
      </c>
      <c r="F700" s="31">
        <v>340.95</v>
      </c>
      <c r="G700" s="13">
        <v>5</v>
      </c>
      <c r="H700" s="31">
        <f t="shared" si="12"/>
        <v>1704.75</v>
      </c>
      <c r="I700" s="19"/>
    </row>
    <row r="701" spans="1:9" x14ac:dyDescent="0.3">
      <c r="A701" s="9" t="s">
        <v>38</v>
      </c>
      <c r="B701" s="10" t="s">
        <v>27</v>
      </c>
      <c r="C701" s="11" t="s">
        <v>15</v>
      </c>
      <c r="D701" s="10" t="s">
        <v>21</v>
      </c>
      <c r="E701" s="12">
        <v>42032</v>
      </c>
      <c r="F701" s="31">
        <v>799.95</v>
      </c>
      <c r="G701" s="13">
        <v>2</v>
      </c>
      <c r="H701" s="31">
        <f t="shared" si="12"/>
        <v>1599.9</v>
      </c>
      <c r="I701" s="19"/>
    </row>
    <row r="702" spans="1:9" x14ac:dyDescent="0.3">
      <c r="A702" s="9" t="s">
        <v>36</v>
      </c>
      <c r="B702" s="10" t="s">
        <v>27</v>
      </c>
      <c r="C702" s="11" t="s">
        <v>15</v>
      </c>
      <c r="D702" s="10" t="s">
        <v>19</v>
      </c>
      <c r="E702" s="12">
        <v>42333</v>
      </c>
      <c r="F702" s="31">
        <v>799.95</v>
      </c>
      <c r="G702" s="13">
        <v>10</v>
      </c>
      <c r="H702" s="31">
        <f t="shared" si="12"/>
        <v>7999.5</v>
      </c>
      <c r="I702" s="19"/>
    </row>
    <row r="703" spans="1:9" x14ac:dyDescent="0.3">
      <c r="A703" s="9" t="s">
        <v>0</v>
      </c>
      <c r="B703" s="10" t="s">
        <v>23</v>
      </c>
      <c r="C703" s="11" t="s">
        <v>14</v>
      </c>
      <c r="D703" s="10" t="s">
        <v>22</v>
      </c>
      <c r="E703" s="12">
        <v>42081</v>
      </c>
      <c r="F703" s="31">
        <v>340.95</v>
      </c>
      <c r="G703" s="13">
        <v>4</v>
      </c>
      <c r="H703" s="31">
        <f t="shared" si="12"/>
        <v>1363.8</v>
      </c>
      <c r="I703" s="19"/>
    </row>
    <row r="704" spans="1:9" x14ac:dyDescent="0.3">
      <c r="A704" s="17" t="s">
        <v>41</v>
      </c>
      <c r="B704" s="10" t="s">
        <v>25</v>
      </c>
      <c r="C704" s="11" t="s">
        <v>17</v>
      </c>
      <c r="D704" s="10" t="s">
        <v>18</v>
      </c>
      <c r="E704" s="12">
        <v>42167</v>
      </c>
      <c r="F704" s="31">
        <v>340.95</v>
      </c>
      <c r="G704" s="13">
        <v>8</v>
      </c>
      <c r="H704" s="31">
        <f t="shared" si="12"/>
        <v>2727.6</v>
      </c>
      <c r="I704" s="19"/>
    </row>
    <row r="705" spans="1:9" x14ac:dyDescent="0.3">
      <c r="A705" s="17" t="s">
        <v>39</v>
      </c>
      <c r="B705" s="10" t="s">
        <v>24</v>
      </c>
      <c r="C705" s="11" t="s">
        <v>14</v>
      </c>
      <c r="D705" s="10" t="s">
        <v>18</v>
      </c>
      <c r="E705" s="12">
        <v>42216</v>
      </c>
      <c r="F705" s="31">
        <v>79.989999999999995</v>
      </c>
      <c r="G705" s="13">
        <v>8</v>
      </c>
      <c r="H705" s="31">
        <f t="shared" si="12"/>
        <v>639.91999999999996</v>
      </c>
      <c r="I705" s="19"/>
    </row>
    <row r="706" spans="1:9" x14ac:dyDescent="0.3">
      <c r="A706" s="17" t="s">
        <v>45</v>
      </c>
      <c r="B706" s="10" t="s">
        <v>25</v>
      </c>
      <c r="C706" s="11" t="s">
        <v>15</v>
      </c>
      <c r="D706" s="10" t="s">
        <v>22</v>
      </c>
      <c r="E706" s="12">
        <v>41777</v>
      </c>
      <c r="F706" s="31">
        <v>340.95</v>
      </c>
      <c r="G706" s="13">
        <v>5</v>
      </c>
      <c r="H706" s="31">
        <f t="shared" ref="H706:H769" si="13">F706*G706</f>
        <v>1704.75</v>
      </c>
      <c r="I706" s="19"/>
    </row>
    <row r="707" spans="1:9" x14ac:dyDescent="0.3">
      <c r="A707" s="17" t="s">
        <v>37</v>
      </c>
      <c r="B707" s="10" t="s">
        <v>24</v>
      </c>
      <c r="C707" s="11" t="s">
        <v>14</v>
      </c>
      <c r="D707" s="10" t="s">
        <v>21</v>
      </c>
      <c r="E707" s="12">
        <v>41986</v>
      </c>
      <c r="F707" s="31">
        <v>79.989999999999995</v>
      </c>
      <c r="G707" s="13">
        <v>6</v>
      </c>
      <c r="H707" s="31">
        <f t="shared" si="13"/>
        <v>479.93999999999994</v>
      </c>
      <c r="I707" s="19"/>
    </row>
    <row r="708" spans="1:9" x14ac:dyDescent="0.3">
      <c r="A708" s="9" t="s">
        <v>42</v>
      </c>
      <c r="B708" s="10" t="s">
        <v>26</v>
      </c>
      <c r="C708" s="11" t="s">
        <v>15</v>
      </c>
      <c r="D708" s="10" t="s">
        <v>21</v>
      </c>
      <c r="E708" s="12">
        <v>41817</v>
      </c>
      <c r="F708" s="31">
        <v>168.95</v>
      </c>
      <c r="G708" s="13">
        <v>7</v>
      </c>
      <c r="H708" s="31">
        <f t="shared" si="13"/>
        <v>1182.6499999999999</v>
      </c>
      <c r="I708" s="19"/>
    </row>
    <row r="709" spans="1:9" x14ac:dyDescent="0.3">
      <c r="A709" s="17" t="s">
        <v>37</v>
      </c>
      <c r="B709" s="10" t="s">
        <v>27</v>
      </c>
      <c r="C709" s="11" t="s">
        <v>14</v>
      </c>
      <c r="D709" s="10" t="s">
        <v>19</v>
      </c>
      <c r="E709" s="12">
        <v>41681</v>
      </c>
      <c r="F709" s="31">
        <v>799.95</v>
      </c>
      <c r="G709" s="13">
        <v>4</v>
      </c>
      <c r="H709" s="31">
        <f t="shared" si="13"/>
        <v>3199.8</v>
      </c>
      <c r="I709" s="19"/>
    </row>
    <row r="710" spans="1:9" x14ac:dyDescent="0.3">
      <c r="A710" s="17" t="s">
        <v>45</v>
      </c>
      <c r="B710" s="10" t="s">
        <v>25</v>
      </c>
      <c r="C710" s="11" t="s">
        <v>15</v>
      </c>
      <c r="D710" s="10" t="s">
        <v>18</v>
      </c>
      <c r="E710" s="12">
        <v>41676</v>
      </c>
      <c r="F710" s="31">
        <v>340.95</v>
      </c>
      <c r="G710" s="13">
        <v>12</v>
      </c>
      <c r="H710" s="31">
        <f t="shared" si="13"/>
        <v>4091.3999999999996</v>
      </c>
      <c r="I710" s="19"/>
    </row>
    <row r="711" spans="1:9" x14ac:dyDescent="0.3">
      <c r="A711" s="9" t="s">
        <v>36</v>
      </c>
      <c r="B711" s="10" t="s">
        <v>24</v>
      </c>
      <c r="C711" s="11" t="s">
        <v>15</v>
      </c>
      <c r="D711" s="10" t="s">
        <v>21</v>
      </c>
      <c r="E711" s="12">
        <v>42188</v>
      </c>
      <c r="F711" s="31">
        <v>79.989999999999995</v>
      </c>
      <c r="G711" s="13">
        <v>4</v>
      </c>
      <c r="H711" s="31">
        <f t="shared" si="13"/>
        <v>319.95999999999998</v>
      </c>
      <c r="I711" s="19"/>
    </row>
    <row r="712" spans="1:9" x14ac:dyDescent="0.3">
      <c r="A712" s="17" t="s">
        <v>41</v>
      </c>
      <c r="B712" s="10" t="s">
        <v>27</v>
      </c>
      <c r="C712" s="11" t="s">
        <v>17</v>
      </c>
      <c r="D712" s="10" t="s">
        <v>21</v>
      </c>
      <c r="E712" s="12">
        <v>42321</v>
      </c>
      <c r="F712" s="31">
        <v>799.95</v>
      </c>
      <c r="G712" s="13">
        <v>7</v>
      </c>
      <c r="H712" s="31">
        <f t="shared" si="13"/>
        <v>5599.6500000000005</v>
      </c>
      <c r="I712" s="19"/>
    </row>
    <row r="713" spans="1:9" x14ac:dyDescent="0.3">
      <c r="A713" s="9" t="s">
        <v>36</v>
      </c>
      <c r="B713" s="10" t="s">
        <v>23</v>
      </c>
      <c r="C713" s="11" t="s">
        <v>15</v>
      </c>
      <c r="D713" s="10" t="s">
        <v>20</v>
      </c>
      <c r="E713" s="12">
        <v>41965</v>
      </c>
      <c r="F713" s="31">
        <v>340.95</v>
      </c>
      <c r="G713" s="13">
        <v>8</v>
      </c>
      <c r="H713" s="31">
        <f t="shared" si="13"/>
        <v>2727.6</v>
      </c>
      <c r="I713" s="19"/>
    </row>
    <row r="714" spans="1:9" x14ac:dyDescent="0.3">
      <c r="A714" s="17" t="s">
        <v>41</v>
      </c>
      <c r="B714" s="10" t="s">
        <v>27</v>
      </c>
      <c r="C714" s="11" t="s">
        <v>17</v>
      </c>
      <c r="D714" s="10" t="s">
        <v>20</v>
      </c>
      <c r="E714" s="12">
        <v>42193</v>
      </c>
      <c r="F714" s="31">
        <v>799.95</v>
      </c>
      <c r="G714" s="13">
        <v>5</v>
      </c>
      <c r="H714" s="31">
        <f t="shared" si="13"/>
        <v>3999.75</v>
      </c>
      <c r="I714" s="19"/>
    </row>
    <row r="715" spans="1:9" x14ac:dyDescent="0.3">
      <c r="A715" s="9" t="s">
        <v>36</v>
      </c>
      <c r="B715" s="10" t="s">
        <v>26</v>
      </c>
      <c r="C715" s="11" t="s">
        <v>15</v>
      </c>
      <c r="D715" s="10" t="s">
        <v>20</v>
      </c>
      <c r="E715" s="12">
        <v>42144</v>
      </c>
      <c r="F715" s="31">
        <v>168.95</v>
      </c>
      <c r="G715" s="13">
        <v>13</v>
      </c>
      <c r="H715" s="31">
        <f t="shared" si="13"/>
        <v>2196.35</v>
      </c>
      <c r="I715" s="19"/>
    </row>
    <row r="716" spans="1:9" x14ac:dyDescent="0.3">
      <c r="A716" s="17" t="s">
        <v>43</v>
      </c>
      <c r="B716" s="10" t="s">
        <v>25</v>
      </c>
      <c r="C716" s="11" t="s">
        <v>16</v>
      </c>
      <c r="D716" s="10" t="s">
        <v>20</v>
      </c>
      <c r="E716" s="12">
        <v>42060</v>
      </c>
      <c r="F716" s="31">
        <v>340.95</v>
      </c>
      <c r="G716" s="13">
        <v>3</v>
      </c>
      <c r="H716" s="31">
        <f t="shared" si="13"/>
        <v>1022.8499999999999</v>
      </c>
      <c r="I716" s="19"/>
    </row>
    <row r="717" spans="1:9" x14ac:dyDescent="0.3">
      <c r="A717" s="9" t="s">
        <v>46</v>
      </c>
      <c r="B717" s="10" t="s">
        <v>23</v>
      </c>
      <c r="C717" s="11" t="s">
        <v>16</v>
      </c>
      <c r="D717" s="10" t="s">
        <v>18</v>
      </c>
      <c r="E717" s="12">
        <v>42186</v>
      </c>
      <c r="F717" s="31">
        <v>340.95</v>
      </c>
      <c r="G717" s="13">
        <v>9</v>
      </c>
      <c r="H717" s="31">
        <f t="shared" si="13"/>
        <v>3068.5499999999997</v>
      </c>
      <c r="I717" s="19"/>
    </row>
    <row r="718" spans="1:9" x14ac:dyDescent="0.3">
      <c r="A718" s="9" t="s">
        <v>36</v>
      </c>
      <c r="B718" s="10" t="s">
        <v>27</v>
      </c>
      <c r="C718" s="11" t="s">
        <v>15</v>
      </c>
      <c r="D718" s="10" t="s">
        <v>19</v>
      </c>
      <c r="E718" s="12">
        <v>42122</v>
      </c>
      <c r="F718" s="31">
        <v>799.95</v>
      </c>
      <c r="G718" s="13">
        <v>10</v>
      </c>
      <c r="H718" s="31">
        <f t="shared" si="13"/>
        <v>7999.5</v>
      </c>
      <c r="I718" s="19"/>
    </row>
    <row r="719" spans="1:9" x14ac:dyDescent="0.3">
      <c r="A719" s="9" t="s">
        <v>46</v>
      </c>
      <c r="B719" s="10" t="s">
        <v>24</v>
      </c>
      <c r="C719" s="11" t="s">
        <v>16</v>
      </c>
      <c r="D719" s="10" t="s">
        <v>20</v>
      </c>
      <c r="E719" s="12">
        <v>42172</v>
      </c>
      <c r="F719" s="31">
        <v>79.989999999999995</v>
      </c>
      <c r="G719" s="13">
        <v>11</v>
      </c>
      <c r="H719" s="31">
        <f t="shared" si="13"/>
        <v>879.89</v>
      </c>
      <c r="I719" s="19"/>
    </row>
    <row r="720" spans="1:9" x14ac:dyDescent="0.3">
      <c r="A720" s="17" t="s">
        <v>45</v>
      </c>
      <c r="B720" s="10" t="s">
        <v>23</v>
      </c>
      <c r="C720" s="11" t="s">
        <v>15</v>
      </c>
      <c r="D720" s="10" t="s">
        <v>21</v>
      </c>
      <c r="E720" s="12">
        <v>41934</v>
      </c>
      <c r="F720" s="31">
        <v>340.95</v>
      </c>
      <c r="G720" s="13">
        <v>7</v>
      </c>
      <c r="H720" s="31">
        <f t="shared" si="13"/>
        <v>2386.65</v>
      </c>
      <c r="I720" s="19"/>
    </row>
    <row r="721" spans="1:9" x14ac:dyDescent="0.3">
      <c r="A721" s="17" t="s">
        <v>39</v>
      </c>
      <c r="B721" s="10" t="s">
        <v>27</v>
      </c>
      <c r="C721" s="11" t="s">
        <v>14</v>
      </c>
      <c r="D721" s="10" t="s">
        <v>18</v>
      </c>
      <c r="E721" s="12">
        <v>42187</v>
      </c>
      <c r="F721" s="31">
        <v>799.95</v>
      </c>
      <c r="G721" s="13">
        <v>10</v>
      </c>
      <c r="H721" s="31">
        <f t="shared" si="13"/>
        <v>7999.5</v>
      </c>
      <c r="I721" s="19"/>
    </row>
    <row r="722" spans="1:9" x14ac:dyDescent="0.3">
      <c r="A722" s="17" t="s">
        <v>41</v>
      </c>
      <c r="B722" s="10" t="s">
        <v>25</v>
      </c>
      <c r="C722" s="11" t="s">
        <v>17</v>
      </c>
      <c r="D722" s="10" t="s">
        <v>21</v>
      </c>
      <c r="E722" s="12">
        <v>42228</v>
      </c>
      <c r="F722" s="31">
        <v>340.95</v>
      </c>
      <c r="G722" s="13">
        <v>11</v>
      </c>
      <c r="H722" s="31">
        <f t="shared" si="13"/>
        <v>3750.45</v>
      </c>
      <c r="I722" s="19"/>
    </row>
    <row r="723" spans="1:9" x14ac:dyDescent="0.3">
      <c r="A723" s="9" t="s">
        <v>38</v>
      </c>
      <c r="B723" s="10" t="s">
        <v>27</v>
      </c>
      <c r="C723" s="11" t="s">
        <v>15</v>
      </c>
      <c r="D723" s="10" t="s">
        <v>18</v>
      </c>
      <c r="E723" s="12">
        <v>42155</v>
      </c>
      <c r="F723" s="31">
        <v>799.95</v>
      </c>
      <c r="G723" s="13">
        <v>8</v>
      </c>
      <c r="H723" s="31">
        <f t="shared" si="13"/>
        <v>6399.6</v>
      </c>
      <c r="I723" s="19"/>
    </row>
    <row r="724" spans="1:9" x14ac:dyDescent="0.3">
      <c r="A724" s="17" t="s">
        <v>39</v>
      </c>
      <c r="B724" s="10" t="s">
        <v>23</v>
      </c>
      <c r="C724" s="11" t="s">
        <v>14</v>
      </c>
      <c r="D724" s="10" t="s">
        <v>22</v>
      </c>
      <c r="E724" s="12">
        <v>42074</v>
      </c>
      <c r="F724" s="31">
        <v>340.95</v>
      </c>
      <c r="G724" s="13">
        <v>12</v>
      </c>
      <c r="H724" s="31">
        <f t="shared" si="13"/>
        <v>4091.3999999999996</v>
      </c>
      <c r="I724" s="19"/>
    </row>
    <row r="725" spans="1:9" x14ac:dyDescent="0.3">
      <c r="A725" s="17" t="s">
        <v>37</v>
      </c>
      <c r="B725" s="10" t="s">
        <v>27</v>
      </c>
      <c r="C725" s="11" t="s">
        <v>14</v>
      </c>
      <c r="D725" s="10" t="s">
        <v>18</v>
      </c>
      <c r="E725" s="12">
        <v>42012</v>
      </c>
      <c r="F725" s="31">
        <v>799.95</v>
      </c>
      <c r="G725" s="13">
        <v>18</v>
      </c>
      <c r="H725" s="31">
        <f t="shared" si="13"/>
        <v>14399.1</v>
      </c>
      <c r="I725" s="19"/>
    </row>
    <row r="726" spans="1:9" x14ac:dyDescent="0.3">
      <c r="A726" s="17" t="s">
        <v>37</v>
      </c>
      <c r="B726" s="10" t="s">
        <v>23</v>
      </c>
      <c r="C726" s="11" t="s">
        <v>14</v>
      </c>
      <c r="D726" s="10" t="s">
        <v>19</v>
      </c>
      <c r="E726" s="12">
        <v>42188</v>
      </c>
      <c r="F726" s="31">
        <v>340.95</v>
      </c>
      <c r="G726" s="13">
        <v>13</v>
      </c>
      <c r="H726" s="31">
        <f t="shared" si="13"/>
        <v>4432.3499999999995</v>
      </c>
      <c r="I726" s="19"/>
    </row>
    <row r="727" spans="1:9" x14ac:dyDescent="0.3">
      <c r="A727" s="17" t="s">
        <v>41</v>
      </c>
      <c r="B727" s="10" t="s">
        <v>25</v>
      </c>
      <c r="C727" s="11" t="s">
        <v>17</v>
      </c>
      <c r="D727" s="10" t="s">
        <v>20</v>
      </c>
      <c r="E727" s="12">
        <v>41903</v>
      </c>
      <c r="F727" s="31">
        <v>340.95</v>
      </c>
      <c r="G727" s="13">
        <v>12</v>
      </c>
      <c r="H727" s="31">
        <f t="shared" si="13"/>
        <v>4091.3999999999996</v>
      </c>
      <c r="I727" s="19"/>
    </row>
    <row r="728" spans="1:9" x14ac:dyDescent="0.3">
      <c r="A728" s="9" t="s">
        <v>0</v>
      </c>
      <c r="B728" s="10" t="s">
        <v>23</v>
      </c>
      <c r="C728" s="11" t="s">
        <v>14</v>
      </c>
      <c r="D728" s="10" t="s">
        <v>20</v>
      </c>
      <c r="E728" s="12">
        <v>42167</v>
      </c>
      <c r="F728" s="31">
        <v>340.95</v>
      </c>
      <c r="G728" s="13">
        <v>9</v>
      </c>
      <c r="H728" s="31">
        <f t="shared" si="13"/>
        <v>3068.5499999999997</v>
      </c>
      <c r="I728" s="19"/>
    </row>
    <row r="729" spans="1:9" x14ac:dyDescent="0.3">
      <c r="A729" s="9" t="s">
        <v>36</v>
      </c>
      <c r="B729" s="10" t="s">
        <v>25</v>
      </c>
      <c r="C729" s="11" t="s">
        <v>15</v>
      </c>
      <c r="D729" s="10" t="s">
        <v>21</v>
      </c>
      <c r="E729" s="12">
        <v>41853</v>
      </c>
      <c r="F729" s="31">
        <v>340.95</v>
      </c>
      <c r="G729" s="13">
        <v>10</v>
      </c>
      <c r="H729" s="31">
        <f t="shared" si="13"/>
        <v>3409.5</v>
      </c>
      <c r="I729" s="19"/>
    </row>
    <row r="730" spans="1:9" x14ac:dyDescent="0.3">
      <c r="A730" s="17" t="s">
        <v>41</v>
      </c>
      <c r="B730" s="10" t="s">
        <v>27</v>
      </c>
      <c r="C730" s="11" t="s">
        <v>17</v>
      </c>
      <c r="D730" s="10" t="s">
        <v>18</v>
      </c>
      <c r="E730" s="12">
        <v>42271</v>
      </c>
      <c r="F730" s="31">
        <v>799.95</v>
      </c>
      <c r="G730" s="13">
        <v>19</v>
      </c>
      <c r="H730" s="31">
        <f t="shared" si="13"/>
        <v>15199.050000000001</v>
      </c>
      <c r="I730" s="19"/>
    </row>
    <row r="731" spans="1:9" x14ac:dyDescent="0.3">
      <c r="A731" s="9" t="s">
        <v>38</v>
      </c>
      <c r="B731" s="10" t="s">
        <v>25</v>
      </c>
      <c r="C731" s="11" t="s">
        <v>16</v>
      </c>
      <c r="D731" s="10" t="s">
        <v>19</v>
      </c>
      <c r="E731" s="12">
        <v>42013</v>
      </c>
      <c r="F731" s="31">
        <v>340.95</v>
      </c>
      <c r="G731" s="13">
        <v>7</v>
      </c>
      <c r="H731" s="31">
        <f t="shared" si="13"/>
        <v>2386.65</v>
      </c>
      <c r="I731" s="19"/>
    </row>
    <row r="732" spans="1:9" x14ac:dyDescent="0.3">
      <c r="A732" s="17" t="s">
        <v>37</v>
      </c>
      <c r="B732" s="10" t="s">
        <v>23</v>
      </c>
      <c r="C732" s="11" t="s">
        <v>14</v>
      </c>
      <c r="D732" s="10" t="s">
        <v>21</v>
      </c>
      <c r="E732" s="12">
        <v>41938</v>
      </c>
      <c r="F732" s="31">
        <v>340.95</v>
      </c>
      <c r="G732" s="13">
        <v>4</v>
      </c>
      <c r="H732" s="31">
        <f t="shared" si="13"/>
        <v>1363.8</v>
      </c>
      <c r="I732" s="19"/>
    </row>
    <row r="733" spans="1:9" x14ac:dyDescent="0.3">
      <c r="A733" s="9" t="s">
        <v>46</v>
      </c>
      <c r="B733" s="10" t="s">
        <v>26</v>
      </c>
      <c r="C733" s="11" t="s">
        <v>16</v>
      </c>
      <c r="D733" s="10" t="s">
        <v>20</v>
      </c>
      <c r="E733" s="12">
        <v>42286</v>
      </c>
      <c r="F733" s="31">
        <v>168.95</v>
      </c>
      <c r="G733" s="13">
        <v>12</v>
      </c>
      <c r="H733" s="31">
        <f t="shared" si="13"/>
        <v>2027.3999999999999</v>
      </c>
      <c r="I733" s="19"/>
    </row>
    <row r="734" spans="1:9" x14ac:dyDescent="0.3">
      <c r="A734" s="9" t="s">
        <v>36</v>
      </c>
      <c r="B734" s="10" t="s">
        <v>26</v>
      </c>
      <c r="C734" s="11" t="s">
        <v>15</v>
      </c>
      <c r="D734" s="10" t="s">
        <v>19</v>
      </c>
      <c r="E734" s="12">
        <v>42314</v>
      </c>
      <c r="F734" s="31">
        <v>168.95</v>
      </c>
      <c r="G734" s="13">
        <v>7</v>
      </c>
      <c r="H734" s="31">
        <f t="shared" si="13"/>
        <v>1182.6499999999999</v>
      </c>
      <c r="I734" s="19"/>
    </row>
    <row r="735" spans="1:9" x14ac:dyDescent="0.3">
      <c r="A735" s="9" t="s">
        <v>36</v>
      </c>
      <c r="B735" s="10" t="s">
        <v>27</v>
      </c>
      <c r="C735" s="11" t="s">
        <v>15</v>
      </c>
      <c r="D735" s="10" t="s">
        <v>21</v>
      </c>
      <c r="E735" s="12">
        <v>41669</v>
      </c>
      <c r="F735" s="31">
        <v>799.95</v>
      </c>
      <c r="G735" s="13">
        <v>10</v>
      </c>
      <c r="H735" s="31">
        <f t="shared" si="13"/>
        <v>7999.5</v>
      </c>
      <c r="I735" s="19"/>
    </row>
    <row r="736" spans="1:9" x14ac:dyDescent="0.3">
      <c r="A736" s="9" t="s">
        <v>38</v>
      </c>
      <c r="B736" s="10" t="s">
        <v>25</v>
      </c>
      <c r="C736" s="11" t="s">
        <v>16</v>
      </c>
      <c r="D736" s="10" t="s">
        <v>18</v>
      </c>
      <c r="E736" s="12">
        <v>41856</v>
      </c>
      <c r="F736" s="31">
        <v>340.95</v>
      </c>
      <c r="G736" s="13">
        <v>15</v>
      </c>
      <c r="H736" s="31">
        <f t="shared" si="13"/>
        <v>5114.25</v>
      </c>
      <c r="I736" s="19"/>
    </row>
    <row r="737" spans="1:9" x14ac:dyDescent="0.3">
      <c r="A737" s="17" t="s">
        <v>44</v>
      </c>
      <c r="B737" s="10" t="s">
        <v>24</v>
      </c>
      <c r="C737" s="11" t="s">
        <v>14</v>
      </c>
      <c r="D737" s="10" t="s">
        <v>22</v>
      </c>
      <c r="E737" s="12">
        <v>41738</v>
      </c>
      <c r="F737" s="31">
        <v>79.989999999999995</v>
      </c>
      <c r="G737" s="13">
        <v>13</v>
      </c>
      <c r="H737" s="31">
        <f t="shared" si="13"/>
        <v>1039.8699999999999</v>
      </c>
      <c r="I737" s="19"/>
    </row>
    <row r="738" spans="1:9" x14ac:dyDescent="0.3">
      <c r="A738" s="9" t="s">
        <v>38</v>
      </c>
      <c r="B738" s="10" t="s">
        <v>24</v>
      </c>
      <c r="C738" s="11" t="s">
        <v>15</v>
      </c>
      <c r="D738" s="10" t="s">
        <v>20</v>
      </c>
      <c r="E738" s="12">
        <v>41747</v>
      </c>
      <c r="F738" s="31">
        <v>79.989999999999995</v>
      </c>
      <c r="G738" s="13">
        <v>12</v>
      </c>
      <c r="H738" s="31">
        <f t="shared" si="13"/>
        <v>959.87999999999988</v>
      </c>
      <c r="I738" s="19"/>
    </row>
    <row r="739" spans="1:9" x14ac:dyDescent="0.3">
      <c r="A739" s="9" t="s">
        <v>38</v>
      </c>
      <c r="B739" s="10" t="s">
        <v>23</v>
      </c>
      <c r="C739" s="11" t="s">
        <v>15</v>
      </c>
      <c r="D739" s="10" t="s">
        <v>20</v>
      </c>
      <c r="E739" s="12">
        <v>42014</v>
      </c>
      <c r="F739" s="31">
        <v>340.95</v>
      </c>
      <c r="G739" s="13">
        <v>11</v>
      </c>
      <c r="H739" s="31">
        <f t="shared" si="13"/>
        <v>3750.45</v>
      </c>
      <c r="I739" s="19"/>
    </row>
    <row r="740" spans="1:9" x14ac:dyDescent="0.3">
      <c r="A740" s="17" t="s">
        <v>45</v>
      </c>
      <c r="B740" s="10" t="s">
        <v>24</v>
      </c>
      <c r="C740" s="11" t="s">
        <v>15</v>
      </c>
      <c r="D740" s="10" t="s">
        <v>21</v>
      </c>
      <c r="E740" s="12">
        <v>41920</v>
      </c>
      <c r="F740" s="31">
        <v>79.989999999999995</v>
      </c>
      <c r="G740" s="13">
        <v>4</v>
      </c>
      <c r="H740" s="31">
        <f t="shared" si="13"/>
        <v>319.95999999999998</v>
      </c>
      <c r="I740" s="19"/>
    </row>
    <row r="741" spans="1:9" x14ac:dyDescent="0.3">
      <c r="A741" s="17" t="s">
        <v>45</v>
      </c>
      <c r="B741" s="10" t="s">
        <v>24</v>
      </c>
      <c r="C741" s="11" t="s">
        <v>15</v>
      </c>
      <c r="D741" s="10" t="s">
        <v>19</v>
      </c>
      <c r="E741" s="12">
        <v>41815</v>
      </c>
      <c r="F741" s="31">
        <v>79.989999999999995</v>
      </c>
      <c r="G741" s="13">
        <v>10</v>
      </c>
      <c r="H741" s="31">
        <f t="shared" si="13"/>
        <v>799.9</v>
      </c>
      <c r="I741" s="19"/>
    </row>
    <row r="742" spans="1:9" x14ac:dyDescent="0.3">
      <c r="A742" s="17" t="s">
        <v>41</v>
      </c>
      <c r="B742" s="10" t="s">
        <v>25</v>
      </c>
      <c r="C742" s="11" t="s">
        <v>17</v>
      </c>
      <c r="D742" s="10" t="s">
        <v>19</v>
      </c>
      <c r="E742" s="12">
        <v>41839</v>
      </c>
      <c r="F742" s="31">
        <v>340.95</v>
      </c>
      <c r="G742" s="13">
        <v>2</v>
      </c>
      <c r="H742" s="31">
        <f t="shared" si="13"/>
        <v>681.9</v>
      </c>
      <c r="I742" s="19"/>
    </row>
    <row r="743" spans="1:9" x14ac:dyDescent="0.3">
      <c r="A743" s="17" t="s">
        <v>44</v>
      </c>
      <c r="B743" s="10" t="s">
        <v>24</v>
      </c>
      <c r="C743" s="11" t="s">
        <v>14</v>
      </c>
      <c r="D743" s="10" t="s">
        <v>19</v>
      </c>
      <c r="E743" s="12">
        <v>42284</v>
      </c>
      <c r="F743" s="31">
        <v>79.989999999999995</v>
      </c>
      <c r="G743" s="13">
        <v>15</v>
      </c>
      <c r="H743" s="31">
        <f t="shared" si="13"/>
        <v>1199.8499999999999</v>
      </c>
      <c r="I743" s="19"/>
    </row>
    <row r="744" spans="1:9" x14ac:dyDescent="0.3">
      <c r="A744" s="17" t="s">
        <v>39</v>
      </c>
      <c r="B744" s="10" t="s">
        <v>26</v>
      </c>
      <c r="C744" s="11" t="s">
        <v>14</v>
      </c>
      <c r="D744" s="10" t="s">
        <v>20</v>
      </c>
      <c r="E744" s="12">
        <v>42003</v>
      </c>
      <c r="F744" s="31">
        <v>168.95</v>
      </c>
      <c r="G744" s="13">
        <v>3</v>
      </c>
      <c r="H744" s="31">
        <f t="shared" si="13"/>
        <v>506.84999999999997</v>
      </c>
      <c r="I744" s="19"/>
    </row>
    <row r="745" spans="1:9" x14ac:dyDescent="0.3">
      <c r="A745" s="9" t="s">
        <v>46</v>
      </c>
      <c r="B745" s="10" t="s">
        <v>23</v>
      </c>
      <c r="C745" s="11" t="s">
        <v>16</v>
      </c>
      <c r="D745" s="10" t="s">
        <v>19</v>
      </c>
      <c r="E745" s="12">
        <v>42028</v>
      </c>
      <c r="F745" s="31">
        <v>340.95</v>
      </c>
      <c r="G745" s="13">
        <v>11</v>
      </c>
      <c r="H745" s="31">
        <f t="shared" si="13"/>
        <v>3750.45</v>
      </c>
      <c r="I745" s="19"/>
    </row>
    <row r="746" spans="1:9" x14ac:dyDescent="0.3">
      <c r="A746" s="9" t="s">
        <v>0</v>
      </c>
      <c r="B746" s="10" t="s">
        <v>27</v>
      </c>
      <c r="C746" s="11" t="s">
        <v>14</v>
      </c>
      <c r="D746" s="10" t="s">
        <v>20</v>
      </c>
      <c r="E746" s="12">
        <v>42057</v>
      </c>
      <c r="F746" s="31">
        <v>799.95</v>
      </c>
      <c r="G746" s="13">
        <v>13</v>
      </c>
      <c r="H746" s="31">
        <f t="shared" si="13"/>
        <v>10399.35</v>
      </c>
      <c r="I746" s="19"/>
    </row>
    <row r="747" spans="1:9" x14ac:dyDescent="0.3">
      <c r="A747" s="17" t="s">
        <v>45</v>
      </c>
      <c r="B747" s="10" t="s">
        <v>25</v>
      </c>
      <c r="C747" s="11" t="s">
        <v>15</v>
      </c>
      <c r="D747" s="10" t="s">
        <v>18</v>
      </c>
      <c r="E747" s="12">
        <v>41801</v>
      </c>
      <c r="F747" s="31">
        <v>340.95</v>
      </c>
      <c r="G747" s="13">
        <v>13</v>
      </c>
      <c r="H747" s="31">
        <f t="shared" si="13"/>
        <v>4432.3499999999995</v>
      </c>
      <c r="I747" s="19"/>
    </row>
    <row r="748" spans="1:9" x14ac:dyDescent="0.3">
      <c r="A748" s="9" t="s">
        <v>36</v>
      </c>
      <c r="B748" s="10" t="s">
        <v>27</v>
      </c>
      <c r="C748" s="11" t="s">
        <v>15</v>
      </c>
      <c r="D748" s="10" t="s">
        <v>22</v>
      </c>
      <c r="E748" s="12">
        <v>41731</v>
      </c>
      <c r="F748" s="31">
        <v>799.95</v>
      </c>
      <c r="G748" s="13">
        <v>7</v>
      </c>
      <c r="H748" s="31">
        <f t="shared" si="13"/>
        <v>5599.6500000000005</v>
      </c>
      <c r="I748" s="19"/>
    </row>
    <row r="749" spans="1:9" x14ac:dyDescent="0.3">
      <c r="A749" s="17" t="s">
        <v>37</v>
      </c>
      <c r="B749" s="10" t="s">
        <v>27</v>
      </c>
      <c r="C749" s="11" t="s">
        <v>14</v>
      </c>
      <c r="D749" s="10" t="s">
        <v>19</v>
      </c>
      <c r="E749" s="12">
        <v>41711</v>
      </c>
      <c r="F749" s="31">
        <v>799.95</v>
      </c>
      <c r="G749" s="13">
        <v>8</v>
      </c>
      <c r="H749" s="31">
        <f t="shared" si="13"/>
        <v>6399.6</v>
      </c>
      <c r="I749" s="19"/>
    </row>
    <row r="750" spans="1:9" x14ac:dyDescent="0.3">
      <c r="A750" s="17" t="s">
        <v>37</v>
      </c>
      <c r="B750" s="10" t="s">
        <v>27</v>
      </c>
      <c r="C750" s="11" t="s">
        <v>14</v>
      </c>
      <c r="D750" s="10" t="s">
        <v>20</v>
      </c>
      <c r="E750" s="12">
        <v>41758</v>
      </c>
      <c r="F750" s="31">
        <v>799.95</v>
      </c>
      <c r="G750" s="13">
        <v>8</v>
      </c>
      <c r="H750" s="31">
        <f t="shared" si="13"/>
        <v>6399.6</v>
      </c>
      <c r="I750" s="19"/>
    </row>
    <row r="751" spans="1:9" x14ac:dyDescent="0.3">
      <c r="A751" s="9" t="s">
        <v>46</v>
      </c>
      <c r="B751" s="10" t="s">
        <v>27</v>
      </c>
      <c r="C751" s="11" t="s">
        <v>16</v>
      </c>
      <c r="D751" s="10" t="s">
        <v>19</v>
      </c>
      <c r="E751" s="12">
        <v>41671</v>
      </c>
      <c r="F751" s="31">
        <v>799.95</v>
      </c>
      <c r="G751" s="13">
        <v>5</v>
      </c>
      <c r="H751" s="31">
        <f t="shared" si="13"/>
        <v>3999.75</v>
      </c>
      <c r="I751" s="19"/>
    </row>
    <row r="752" spans="1:9" x14ac:dyDescent="0.3">
      <c r="A752" s="17" t="s">
        <v>44</v>
      </c>
      <c r="B752" s="10" t="s">
        <v>23</v>
      </c>
      <c r="C752" s="11" t="s">
        <v>14</v>
      </c>
      <c r="D752" s="10" t="s">
        <v>21</v>
      </c>
      <c r="E752" s="12">
        <v>41728</v>
      </c>
      <c r="F752" s="31">
        <v>340.95</v>
      </c>
      <c r="G752" s="13">
        <v>15</v>
      </c>
      <c r="H752" s="31">
        <f t="shared" si="13"/>
        <v>5114.25</v>
      </c>
      <c r="I752" s="19"/>
    </row>
    <row r="753" spans="1:9" x14ac:dyDescent="0.3">
      <c r="A753" s="17" t="s">
        <v>41</v>
      </c>
      <c r="B753" s="10" t="s">
        <v>26</v>
      </c>
      <c r="C753" s="11" t="s">
        <v>17</v>
      </c>
      <c r="D753" s="10" t="s">
        <v>21</v>
      </c>
      <c r="E753" s="12">
        <v>41702</v>
      </c>
      <c r="F753" s="31">
        <v>168.95</v>
      </c>
      <c r="G753" s="13">
        <v>4</v>
      </c>
      <c r="H753" s="31">
        <f t="shared" si="13"/>
        <v>675.8</v>
      </c>
      <c r="I753" s="19"/>
    </row>
    <row r="754" spans="1:9" x14ac:dyDescent="0.3">
      <c r="A754" s="17" t="s">
        <v>44</v>
      </c>
      <c r="B754" s="10" t="s">
        <v>23</v>
      </c>
      <c r="C754" s="11" t="s">
        <v>14</v>
      </c>
      <c r="D754" s="10" t="s">
        <v>18</v>
      </c>
      <c r="E754" s="12">
        <v>41885</v>
      </c>
      <c r="F754" s="31">
        <v>340.95</v>
      </c>
      <c r="G754" s="13">
        <v>11</v>
      </c>
      <c r="H754" s="31">
        <f t="shared" si="13"/>
        <v>3750.45</v>
      </c>
      <c r="I754" s="19"/>
    </row>
    <row r="755" spans="1:9" x14ac:dyDescent="0.3">
      <c r="A755" s="9" t="s">
        <v>0</v>
      </c>
      <c r="B755" s="10" t="s">
        <v>23</v>
      </c>
      <c r="C755" s="11" t="s">
        <v>14</v>
      </c>
      <c r="D755" s="10" t="s">
        <v>18</v>
      </c>
      <c r="E755" s="12">
        <v>41727</v>
      </c>
      <c r="F755" s="31">
        <v>340.95</v>
      </c>
      <c r="G755" s="13">
        <v>20</v>
      </c>
      <c r="H755" s="31">
        <f t="shared" si="13"/>
        <v>6819</v>
      </c>
      <c r="I755" s="19"/>
    </row>
    <row r="756" spans="1:9" x14ac:dyDescent="0.3">
      <c r="A756" s="9" t="s">
        <v>46</v>
      </c>
      <c r="B756" s="10" t="s">
        <v>26</v>
      </c>
      <c r="C756" s="11" t="s">
        <v>16</v>
      </c>
      <c r="D756" s="10" t="s">
        <v>19</v>
      </c>
      <c r="E756" s="12">
        <v>41690</v>
      </c>
      <c r="F756" s="31">
        <v>168.95</v>
      </c>
      <c r="G756" s="13">
        <v>8</v>
      </c>
      <c r="H756" s="31">
        <f t="shared" si="13"/>
        <v>1351.6</v>
      </c>
      <c r="I756" s="19"/>
    </row>
    <row r="757" spans="1:9" x14ac:dyDescent="0.3">
      <c r="A757" s="9" t="s">
        <v>36</v>
      </c>
      <c r="B757" s="10" t="s">
        <v>26</v>
      </c>
      <c r="C757" s="11" t="s">
        <v>15</v>
      </c>
      <c r="D757" s="10" t="s">
        <v>18</v>
      </c>
      <c r="E757" s="12">
        <v>42012</v>
      </c>
      <c r="F757" s="31">
        <v>168.95</v>
      </c>
      <c r="G757" s="13">
        <v>20</v>
      </c>
      <c r="H757" s="31">
        <f t="shared" si="13"/>
        <v>3379</v>
      </c>
      <c r="I757" s="19"/>
    </row>
    <row r="758" spans="1:9" x14ac:dyDescent="0.3">
      <c r="A758" s="9" t="s">
        <v>42</v>
      </c>
      <c r="B758" s="10" t="s">
        <v>24</v>
      </c>
      <c r="C758" s="11" t="s">
        <v>15</v>
      </c>
      <c r="D758" s="10" t="s">
        <v>19</v>
      </c>
      <c r="E758" s="12">
        <v>41966</v>
      </c>
      <c r="F758" s="31">
        <v>79.989999999999995</v>
      </c>
      <c r="G758" s="13">
        <v>4</v>
      </c>
      <c r="H758" s="31">
        <f t="shared" si="13"/>
        <v>319.95999999999998</v>
      </c>
      <c r="I758" s="19"/>
    </row>
    <row r="759" spans="1:9" x14ac:dyDescent="0.3">
      <c r="A759" s="17" t="s">
        <v>45</v>
      </c>
      <c r="B759" s="10" t="s">
        <v>24</v>
      </c>
      <c r="C759" s="11" t="s">
        <v>15</v>
      </c>
      <c r="D759" s="10" t="s">
        <v>22</v>
      </c>
      <c r="E759" s="12">
        <v>41650</v>
      </c>
      <c r="F759" s="31">
        <v>79.989999999999995</v>
      </c>
      <c r="G759" s="13">
        <v>10</v>
      </c>
      <c r="H759" s="31">
        <f t="shared" si="13"/>
        <v>799.9</v>
      </c>
      <c r="I759" s="19"/>
    </row>
    <row r="760" spans="1:9" x14ac:dyDescent="0.3">
      <c r="A760" s="9" t="s">
        <v>38</v>
      </c>
      <c r="B760" s="10" t="s">
        <v>26</v>
      </c>
      <c r="C760" s="11" t="s">
        <v>15</v>
      </c>
      <c r="D760" s="10" t="s">
        <v>21</v>
      </c>
      <c r="E760" s="12">
        <v>42150</v>
      </c>
      <c r="F760" s="31">
        <v>168.95</v>
      </c>
      <c r="G760" s="13">
        <v>14</v>
      </c>
      <c r="H760" s="31">
        <f t="shared" si="13"/>
        <v>2365.2999999999997</v>
      </c>
      <c r="I760" s="19"/>
    </row>
    <row r="761" spans="1:9" x14ac:dyDescent="0.3">
      <c r="A761" s="9" t="s">
        <v>0</v>
      </c>
      <c r="B761" s="10" t="s">
        <v>23</v>
      </c>
      <c r="C761" s="11" t="s">
        <v>14</v>
      </c>
      <c r="D761" s="10" t="s">
        <v>19</v>
      </c>
      <c r="E761" s="12">
        <v>42102</v>
      </c>
      <c r="F761" s="31">
        <v>340.95</v>
      </c>
      <c r="G761" s="13">
        <v>10</v>
      </c>
      <c r="H761" s="31">
        <f t="shared" si="13"/>
        <v>3409.5</v>
      </c>
      <c r="I761" s="19"/>
    </row>
    <row r="762" spans="1:9" x14ac:dyDescent="0.3">
      <c r="A762" s="17" t="s">
        <v>45</v>
      </c>
      <c r="B762" s="10" t="s">
        <v>23</v>
      </c>
      <c r="C762" s="11" t="s">
        <v>15</v>
      </c>
      <c r="D762" s="10" t="s">
        <v>20</v>
      </c>
      <c r="E762" s="12">
        <v>42203</v>
      </c>
      <c r="F762" s="31">
        <v>340.95</v>
      </c>
      <c r="G762" s="13">
        <v>3</v>
      </c>
      <c r="H762" s="31">
        <f t="shared" si="13"/>
        <v>1022.8499999999999</v>
      </c>
      <c r="I762" s="19"/>
    </row>
    <row r="763" spans="1:9" x14ac:dyDescent="0.3">
      <c r="A763" s="9" t="s">
        <v>36</v>
      </c>
      <c r="B763" s="10" t="s">
        <v>23</v>
      </c>
      <c r="C763" s="11" t="s">
        <v>15</v>
      </c>
      <c r="D763" s="10" t="s">
        <v>19</v>
      </c>
      <c r="E763" s="12">
        <v>41971</v>
      </c>
      <c r="F763" s="31">
        <v>340.95</v>
      </c>
      <c r="G763" s="13">
        <v>9</v>
      </c>
      <c r="H763" s="31">
        <f t="shared" si="13"/>
        <v>3068.5499999999997</v>
      </c>
      <c r="I763" s="19"/>
    </row>
    <row r="764" spans="1:9" x14ac:dyDescent="0.3">
      <c r="A764" s="9" t="s">
        <v>46</v>
      </c>
      <c r="B764" s="10" t="s">
        <v>24</v>
      </c>
      <c r="C764" s="11" t="s">
        <v>16</v>
      </c>
      <c r="D764" s="10" t="s">
        <v>20</v>
      </c>
      <c r="E764" s="12">
        <v>41885</v>
      </c>
      <c r="F764" s="31">
        <v>79.989999999999995</v>
      </c>
      <c r="G764" s="13">
        <v>3</v>
      </c>
      <c r="H764" s="31">
        <f t="shared" si="13"/>
        <v>239.96999999999997</v>
      </c>
      <c r="I764" s="19"/>
    </row>
    <row r="765" spans="1:9" x14ac:dyDescent="0.3">
      <c r="A765" s="9" t="s">
        <v>38</v>
      </c>
      <c r="B765" s="10" t="s">
        <v>24</v>
      </c>
      <c r="C765" s="11" t="s">
        <v>15</v>
      </c>
      <c r="D765" s="10" t="s">
        <v>19</v>
      </c>
      <c r="E765" s="12">
        <v>41874</v>
      </c>
      <c r="F765" s="31">
        <v>79.989999999999995</v>
      </c>
      <c r="G765" s="13">
        <v>9</v>
      </c>
      <c r="H765" s="31">
        <f t="shared" si="13"/>
        <v>719.91</v>
      </c>
      <c r="I765" s="19"/>
    </row>
    <row r="766" spans="1:9" x14ac:dyDescent="0.3">
      <c r="A766" s="17" t="s">
        <v>45</v>
      </c>
      <c r="B766" s="10" t="s">
        <v>26</v>
      </c>
      <c r="C766" s="11" t="s">
        <v>15</v>
      </c>
      <c r="D766" s="10" t="s">
        <v>20</v>
      </c>
      <c r="E766" s="12">
        <v>41857</v>
      </c>
      <c r="F766" s="31">
        <v>168.95</v>
      </c>
      <c r="G766" s="13">
        <v>15</v>
      </c>
      <c r="H766" s="31">
        <f t="shared" si="13"/>
        <v>2534.25</v>
      </c>
      <c r="I766" s="19"/>
    </row>
    <row r="767" spans="1:9" x14ac:dyDescent="0.3">
      <c r="A767" s="9" t="s">
        <v>46</v>
      </c>
      <c r="B767" s="10" t="s">
        <v>26</v>
      </c>
      <c r="C767" s="11" t="s">
        <v>16</v>
      </c>
      <c r="D767" s="10" t="s">
        <v>20</v>
      </c>
      <c r="E767" s="12">
        <v>41753</v>
      </c>
      <c r="F767" s="31">
        <v>168.95</v>
      </c>
      <c r="G767" s="13">
        <v>12</v>
      </c>
      <c r="H767" s="31">
        <f t="shared" si="13"/>
        <v>2027.3999999999999</v>
      </c>
      <c r="I767" s="19"/>
    </row>
    <row r="768" spans="1:9" x14ac:dyDescent="0.3">
      <c r="A768" s="9" t="s">
        <v>42</v>
      </c>
      <c r="B768" s="10" t="s">
        <v>25</v>
      </c>
      <c r="C768" s="11" t="s">
        <v>15</v>
      </c>
      <c r="D768" s="10" t="s">
        <v>20</v>
      </c>
      <c r="E768" s="12">
        <v>41942</v>
      </c>
      <c r="F768" s="31">
        <v>340.95</v>
      </c>
      <c r="G768" s="13">
        <v>5</v>
      </c>
      <c r="H768" s="31">
        <f t="shared" si="13"/>
        <v>1704.75</v>
      </c>
      <c r="I768" s="19"/>
    </row>
    <row r="769" spans="1:9" x14ac:dyDescent="0.3">
      <c r="A769" s="9" t="s">
        <v>0</v>
      </c>
      <c r="B769" s="10" t="s">
        <v>24</v>
      </c>
      <c r="C769" s="11" t="s">
        <v>14</v>
      </c>
      <c r="D769" s="10" t="s">
        <v>20</v>
      </c>
      <c r="E769" s="12">
        <v>42209</v>
      </c>
      <c r="F769" s="31">
        <v>79.989999999999995</v>
      </c>
      <c r="G769" s="13">
        <v>2</v>
      </c>
      <c r="H769" s="31">
        <f t="shared" si="13"/>
        <v>159.97999999999999</v>
      </c>
      <c r="I769" s="19"/>
    </row>
    <row r="770" spans="1:9" x14ac:dyDescent="0.3">
      <c r="A770" s="9" t="s">
        <v>38</v>
      </c>
      <c r="B770" s="10" t="s">
        <v>25</v>
      </c>
      <c r="C770" s="11" t="s">
        <v>16</v>
      </c>
      <c r="D770" s="10" t="s">
        <v>20</v>
      </c>
      <c r="E770" s="12">
        <v>42095</v>
      </c>
      <c r="F770" s="31">
        <v>340.95</v>
      </c>
      <c r="G770" s="13">
        <v>10</v>
      </c>
      <c r="H770" s="31">
        <f t="shared" ref="H770:H833" si="14">F770*G770</f>
        <v>3409.5</v>
      </c>
      <c r="I770" s="19"/>
    </row>
    <row r="771" spans="1:9" x14ac:dyDescent="0.3">
      <c r="A771" s="17" t="s">
        <v>37</v>
      </c>
      <c r="B771" s="10" t="s">
        <v>27</v>
      </c>
      <c r="C771" s="11" t="s">
        <v>14</v>
      </c>
      <c r="D771" s="10" t="s">
        <v>21</v>
      </c>
      <c r="E771" s="12">
        <v>41790</v>
      </c>
      <c r="F771" s="31">
        <v>799.95</v>
      </c>
      <c r="G771" s="13">
        <v>5</v>
      </c>
      <c r="H771" s="31">
        <f t="shared" si="14"/>
        <v>3999.75</v>
      </c>
      <c r="I771" s="19"/>
    </row>
    <row r="772" spans="1:9" x14ac:dyDescent="0.3">
      <c r="A772" s="9" t="s">
        <v>40</v>
      </c>
      <c r="B772" s="10" t="s">
        <v>25</v>
      </c>
      <c r="C772" s="11" t="s">
        <v>17</v>
      </c>
      <c r="D772" s="10" t="s">
        <v>19</v>
      </c>
      <c r="E772" s="12">
        <v>42315</v>
      </c>
      <c r="F772" s="31">
        <v>340.95</v>
      </c>
      <c r="G772" s="13">
        <v>6</v>
      </c>
      <c r="H772" s="31">
        <f t="shared" si="14"/>
        <v>2045.6999999999998</v>
      </c>
      <c r="I772" s="19"/>
    </row>
    <row r="773" spans="1:9" x14ac:dyDescent="0.3">
      <c r="A773" s="17" t="s">
        <v>43</v>
      </c>
      <c r="B773" s="10" t="s">
        <v>24</v>
      </c>
      <c r="C773" s="11" t="s">
        <v>16</v>
      </c>
      <c r="D773" s="10" t="s">
        <v>19</v>
      </c>
      <c r="E773" s="12">
        <v>42074</v>
      </c>
      <c r="F773" s="31">
        <v>79.989999999999995</v>
      </c>
      <c r="G773" s="13">
        <v>2</v>
      </c>
      <c r="H773" s="31">
        <f t="shared" si="14"/>
        <v>159.97999999999999</v>
      </c>
      <c r="I773" s="19"/>
    </row>
    <row r="774" spans="1:9" x14ac:dyDescent="0.3">
      <c r="A774" s="17" t="s">
        <v>44</v>
      </c>
      <c r="B774" s="10" t="s">
        <v>24</v>
      </c>
      <c r="C774" s="11" t="s">
        <v>14</v>
      </c>
      <c r="D774" s="10" t="s">
        <v>21</v>
      </c>
      <c r="E774" s="12">
        <v>41937</v>
      </c>
      <c r="F774" s="31">
        <v>79.989999999999995</v>
      </c>
      <c r="G774" s="13">
        <v>12</v>
      </c>
      <c r="H774" s="31">
        <f t="shared" si="14"/>
        <v>959.87999999999988</v>
      </c>
      <c r="I774" s="19"/>
    </row>
    <row r="775" spans="1:9" x14ac:dyDescent="0.3">
      <c r="A775" s="17" t="s">
        <v>37</v>
      </c>
      <c r="B775" s="10" t="s">
        <v>26</v>
      </c>
      <c r="C775" s="11" t="s">
        <v>14</v>
      </c>
      <c r="D775" s="10" t="s">
        <v>20</v>
      </c>
      <c r="E775" s="12">
        <v>41760</v>
      </c>
      <c r="F775" s="31">
        <v>168.95</v>
      </c>
      <c r="G775" s="13">
        <v>12</v>
      </c>
      <c r="H775" s="31">
        <f t="shared" si="14"/>
        <v>2027.3999999999999</v>
      </c>
      <c r="I775" s="19"/>
    </row>
    <row r="776" spans="1:9" x14ac:dyDescent="0.3">
      <c r="A776" s="17" t="s">
        <v>43</v>
      </c>
      <c r="B776" s="10" t="s">
        <v>25</v>
      </c>
      <c r="C776" s="11" t="s">
        <v>16</v>
      </c>
      <c r="D776" s="10" t="s">
        <v>19</v>
      </c>
      <c r="E776" s="12">
        <v>42074</v>
      </c>
      <c r="F776" s="31">
        <v>340.95</v>
      </c>
      <c r="G776" s="13">
        <v>2</v>
      </c>
      <c r="H776" s="31">
        <f t="shared" si="14"/>
        <v>681.9</v>
      </c>
      <c r="I776" s="19"/>
    </row>
    <row r="777" spans="1:9" x14ac:dyDescent="0.3">
      <c r="A777" s="17" t="s">
        <v>44</v>
      </c>
      <c r="B777" s="10" t="s">
        <v>26</v>
      </c>
      <c r="C777" s="11" t="s">
        <v>14</v>
      </c>
      <c r="D777" s="10" t="s">
        <v>19</v>
      </c>
      <c r="E777" s="12">
        <v>41955</v>
      </c>
      <c r="F777" s="31">
        <v>168.95</v>
      </c>
      <c r="G777" s="13">
        <v>1</v>
      </c>
      <c r="H777" s="31">
        <f t="shared" si="14"/>
        <v>168.95</v>
      </c>
      <c r="I777" s="19"/>
    </row>
    <row r="778" spans="1:9" x14ac:dyDescent="0.3">
      <c r="A778" s="9" t="s">
        <v>0</v>
      </c>
      <c r="B778" s="10" t="s">
        <v>23</v>
      </c>
      <c r="C778" s="11" t="s">
        <v>14</v>
      </c>
      <c r="D778" s="10" t="s">
        <v>21</v>
      </c>
      <c r="E778" s="12">
        <v>41896</v>
      </c>
      <c r="F778" s="31">
        <v>340.95</v>
      </c>
      <c r="G778" s="13">
        <v>5</v>
      </c>
      <c r="H778" s="31">
        <f t="shared" si="14"/>
        <v>1704.75</v>
      </c>
      <c r="I778" s="19"/>
    </row>
    <row r="779" spans="1:9" x14ac:dyDescent="0.3">
      <c r="A779" s="9" t="s">
        <v>40</v>
      </c>
      <c r="B779" s="10" t="s">
        <v>23</v>
      </c>
      <c r="C779" s="11" t="s">
        <v>17</v>
      </c>
      <c r="D779" s="10" t="s">
        <v>18</v>
      </c>
      <c r="E779" s="12">
        <v>41779</v>
      </c>
      <c r="F779" s="31">
        <v>340.95</v>
      </c>
      <c r="G779" s="13">
        <v>15</v>
      </c>
      <c r="H779" s="31">
        <f t="shared" si="14"/>
        <v>5114.25</v>
      </c>
      <c r="I779" s="19"/>
    </row>
    <row r="780" spans="1:9" x14ac:dyDescent="0.3">
      <c r="A780" s="9" t="s">
        <v>0</v>
      </c>
      <c r="B780" s="10" t="s">
        <v>23</v>
      </c>
      <c r="C780" s="11" t="s">
        <v>14</v>
      </c>
      <c r="D780" s="10" t="s">
        <v>21</v>
      </c>
      <c r="E780" s="12">
        <v>41782</v>
      </c>
      <c r="F780" s="31">
        <v>340.95</v>
      </c>
      <c r="G780" s="13">
        <v>3</v>
      </c>
      <c r="H780" s="31">
        <f t="shared" si="14"/>
        <v>1022.8499999999999</v>
      </c>
      <c r="I780" s="19"/>
    </row>
    <row r="781" spans="1:9" x14ac:dyDescent="0.3">
      <c r="A781" s="17" t="s">
        <v>45</v>
      </c>
      <c r="B781" s="10" t="s">
        <v>24</v>
      </c>
      <c r="C781" s="11" t="s">
        <v>15</v>
      </c>
      <c r="D781" s="10" t="s">
        <v>20</v>
      </c>
      <c r="E781" s="12">
        <v>41891</v>
      </c>
      <c r="F781" s="31">
        <v>79.989999999999995</v>
      </c>
      <c r="G781" s="13">
        <v>1</v>
      </c>
      <c r="H781" s="31">
        <f t="shared" si="14"/>
        <v>79.989999999999995</v>
      </c>
      <c r="I781" s="19"/>
    </row>
    <row r="782" spans="1:9" x14ac:dyDescent="0.3">
      <c r="A782" s="17" t="s">
        <v>45</v>
      </c>
      <c r="B782" s="10" t="s">
        <v>24</v>
      </c>
      <c r="C782" s="11" t="s">
        <v>15</v>
      </c>
      <c r="D782" s="10" t="s">
        <v>19</v>
      </c>
      <c r="E782" s="12">
        <v>42214</v>
      </c>
      <c r="F782" s="31">
        <v>79.989999999999995</v>
      </c>
      <c r="G782" s="13">
        <v>10</v>
      </c>
      <c r="H782" s="31">
        <f t="shared" si="14"/>
        <v>799.9</v>
      </c>
      <c r="I782" s="19"/>
    </row>
    <row r="783" spans="1:9" x14ac:dyDescent="0.3">
      <c r="A783" s="17" t="s">
        <v>44</v>
      </c>
      <c r="B783" s="10" t="s">
        <v>27</v>
      </c>
      <c r="C783" s="11" t="s">
        <v>14</v>
      </c>
      <c r="D783" s="10" t="s">
        <v>21</v>
      </c>
      <c r="E783" s="12">
        <v>41892</v>
      </c>
      <c r="F783" s="31">
        <v>799.95</v>
      </c>
      <c r="G783" s="13">
        <v>14</v>
      </c>
      <c r="H783" s="31">
        <f t="shared" si="14"/>
        <v>11199.300000000001</v>
      </c>
      <c r="I783" s="19"/>
    </row>
    <row r="784" spans="1:9" x14ac:dyDescent="0.3">
      <c r="A784" s="9" t="s">
        <v>46</v>
      </c>
      <c r="B784" s="10" t="s">
        <v>25</v>
      </c>
      <c r="C784" s="11" t="s">
        <v>16</v>
      </c>
      <c r="D784" s="10" t="s">
        <v>20</v>
      </c>
      <c r="E784" s="12">
        <v>42155</v>
      </c>
      <c r="F784" s="31">
        <v>340.95</v>
      </c>
      <c r="G784" s="13">
        <v>9</v>
      </c>
      <c r="H784" s="31">
        <f t="shared" si="14"/>
        <v>3068.5499999999997</v>
      </c>
      <c r="I784" s="19"/>
    </row>
    <row r="785" spans="1:9" x14ac:dyDescent="0.3">
      <c r="A785" s="17" t="s">
        <v>43</v>
      </c>
      <c r="B785" s="10" t="s">
        <v>23</v>
      </c>
      <c r="C785" s="11" t="s">
        <v>16</v>
      </c>
      <c r="D785" s="10" t="s">
        <v>19</v>
      </c>
      <c r="E785" s="12">
        <v>41920</v>
      </c>
      <c r="F785" s="31">
        <v>340.95</v>
      </c>
      <c r="G785" s="13">
        <v>1</v>
      </c>
      <c r="H785" s="31">
        <f t="shared" si="14"/>
        <v>340.95</v>
      </c>
      <c r="I785" s="19"/>
    </row>
    <row r="786" spans="1:9" x14ac:dyDescent="0.3">
      <c r="A786" s="9" t="s">
        <v>36</v>
      </c>
      <c r="B786" s="10" t="s">
        <v>27</v>
      </c>
      <c r="C786" s="11" t="s">
        <v>15</v>
      </c>
      <c r="D786" s="10" t="s">
        <v>19</v>
      </c>
      <c r="E786" s="12">
        <v>42291</v>
      </c>
      <c r="F786" s="31">
        <v>799.95</v>
      </c>
      <c r="G786" s="13">
        <v>3</v>
      </c>
      <c r="H786" s="31">
        <f t="shared" si="14"/>
        <v>2399.8500000000004</v>
      </c>
      <c r="I786" s="19"/>
    </row>
    <row r="787" spans="1:9" x14ac:dyDescent="0.3">
      <c r="A787" s="9" t="s">
        <v>38</v>
      </c>
      <c r="B787" s="10" t="s">
        <v>26</v>
      </c>
      <c r="C787" s="11" t="s">
        <v>15</v>
      </c>
      <c r="D787" s="10" t="s">
        <v>22</v>
      </c>
      <c r="E787" s="12">
        <v>41947</v>
      </c>
      <c r="F787" s="31">
        <v>168.95</v>
      </c>
      <c r="G787" s="13">
        <v>2</v>
      </c>
      <c r="H787" s="31">
        <f t="shared" si="14"/>
        <v>337.9</v>
      </c>
      <c r="I787" s="19"/>
    </row>
    <row r="788" spans="1:9" x14ac:dyDescent="0.3">
      <c r="A788" s="17" t="s">
        <v>37</v>
      </c>
      <c r="B788" s="10" t="s">
        <v>24</v>
      </c>
      <c r="C788" s="11" t="s">
        <v>14</v>
      </c>
      <c r="D788" s="10" t="s">
        <v>21</v>
      </c>
      <c r="E788" s="12">
        <v>42313</v>
      </c>
      <c r="F788" s="31">
        <v>79.989999999999995</v>
      </c>
      <c r="G788" s="13">
        <v>1</v>
      </c>
      <c r="H788" s="31">
        <f t="shared" si="14"/>
        <v>79.989999999999995</v>
      </c>
      <c r="I788" s="19"/>
    </row>
    <row r="789" spans="1:9" x14ac:dyDescent="0.3">
      <c r="A789" s="17" t="s">
        <v>39</v>
      </c>
      <c r="B789" s="10" t="s">
        <v>26</v>
      </c>
      <c r="C789" s="11" t="s">
        <v>14</v>
      </c>
      <c r="D789" s="10" t="s">
        <v>20</v>
      </c>
      <c r="E789" s="12">
        <v>42354</v>
      </c>
      <c r="F789" s="31">
        <v>168.95</v>
      </c>
      <c r="G789" s="13">
        <v>5</v>
      </c>
      <c r="H789" s="31">
        <f t="shared" si="14"/>
        <v>844.75</v>
      </c>
      <c r="I789" s="19"/>
    </row>
    <row r="790" spans="1:9" x14ac:dyDescent="0.3">
      <c r="A790" s="9" t="s">
        <v>0</v>
      </c>
      <c r="B790" s="10" t="s">
        <v>27</v>
      </c>
      <c r="C790" s="11" t="s">
        <v>14</v>
      </c>
      <c r="D790" s="10" t="s">
        <v>22</v>
      </c>
      <c r="E790" s="12">
        <v>41847</v>
      </c>
      <c r="F790" s="31">
        <v>799.95</v>
      </c>
      <c r="G790" s="13">
        <v>2</v>
      </c>
      <c r="H790" s="31">
        <f t="shared" si="14"/>
        <v>1599.9</v>
      </c>
      <c r="I790" s="19"/>
    </row>
    <row r="791" spans="1:9" x14ac:dyDescent="0.3">
      <c r="A791" s="17" t="s">
        <v>45</v>
      </c>
      <c r="B791" s="10" t="s">
        <v>23</v>
      </c>
      <c r="C791" s="11" t="s">
        <v>15</v>
      </c>
      <c r="D791" s="10" t="s">
        <v>20</v>
      </c>
      <c r="E791" s="12">
        <v>42232</v>
      </c>
      <c r="F791" s="31">
        <v>340.95</v>
      </c>
      <c r="G791" s="13">
        <v>15</v>
      </c>
      <c r="H791" s="31">
        <f t="shared" si="14"/>
        <v>5114.25</v>
      </c>
      <c r="I791" s="19"/>
    </row>
    <row r="792" spans="1:9" x14ac:dyDescent="0.3">
      <c r="A792" s="17" t="s">
        <v>43</v>
      </c>
      <c r="B792" s="10" t="s">
        <v>27</v>
      </c>
      <c r="C792" s="11" t="s">
        <v>16</v>
      </c>
      <c r="D792" s="10" t="s">
        <v>22</v>
      </c>
      <c r="E792" s="12">
        <v>42213</v>
      </c>
      <c r="F792" s="31">
        <v>799.95</v>
      </c>
      <c r="G792" s="13">
        <v>10</v>
      </c>
      <c r="H792" s="31">
        <f t="shared" si="14"/>
        <v>7999.5</v>
      </c>
      <c r="I792" s="19"/>
    </row>
    <row r="793" spans="1:9" x14ac:dyDescent="0.3">
      <c r="A793" s="9" t="s">
        <v>40</v>
      </c>
      <c r="B793" s="10" t="s">
        <v>26</v>
      </c>
      <c r="C793" s="11" t="s">
        <v>17</v>
      </c>
      <c r="D793" s="10" t="s">
        <v>21</v>
      </c>
      <c r="E793" s="12">
        <v>41734</v>
      </c>
      <c r="F793" s="31">
        <v>168.95</v>
      </c>
      <c r="G793" s="13">
        <v>14</v>
      </c>
      <c r="H793" s="31">
        <f t="shared" si="14"/>
        <v>2365.2999999999997</v>
      </c>
      <c r="I793" s="19"/>
    </row>
    <row r="794" spans="1:9" x14ac:dyDescent="0.3">
      <c r="A794" s="17" t="s">
        <v>41</v>
      </c>
      <c r="B794" s="10" t="s">
        <v>23</v>
      </c>
      <c r="C794" s="11" t="s">
        <v>17</v>
      </c>
      <c r="D794" s="10" t="s">
        <v>20</v>
      </c>
      <c r="E794" s="12">
        <v>42256</v>
      </c>
      <c r="F794" s="31">
        <v>340.95</v>
      </c>
      <c r="G794" s="13">
        <v>8</v>
      </c>
      <c r="H794" s="31">
        <f t="shared" si="14"/>
        <v>2727.6</v>
      </c>
      <c r="I794" s="19"/>
    </row>
    <row r="795" spans="1:9" x14ac:dyDescent="0.3">
      <c r="A795" s="9" t="s">
        <v>36</v>
      </c>
      <c r="B795" s="10" t="s">
        <v>27</v>
      </c>
      <c r="C795" s="11" t="s">
        <v>15</v>
      </c>
      <c r="D795" s="10" t="s">
        <v>20</v>
      </c>
      <c r="E795" s="12">
        <v>41808</v>
      </c>
      <c r="F795" s="31">
        <v>799.95</v>
      </c>
      <c r="G795" s="13">
        <v>3</v>
      </c>
      <c r="H795" s="31">
        <f t="shared" si="14"/>
        <v>2399.8500000000004</v>
      </c>
      <c r="I795" s="19"/>
    </row>
    <row r="796" spans="1:9" x14ac:dyDescent="0.3">
      <c r="A796" s="9" t="s">
        <v>36</v>
      </c>
      <c r="B796" s="10" t="s">
        <v>24</v>
      </c>
      <c r="C796" s="11" t="s">
        <v>15</v>
      </c>
      <c r="D796" s="10" t="s">
        <v>22</v>
      </c>
      <c r="E796" s="12">
        <v>41851</v>
      </c>
      <c r="F796" s="31">
        <v>79.989999999999995</v>
      </c>
      <c r="G796" s="13">
        <v>10</v>
      </c>
      <c r="H796" s="31">
        <f t="shared" si="14"/>
        <v>799.9</v>
      </c>
      <c r="I796" s="19"/>
    </row>
    <row r="797" spans="1:9" x14ac:dyDescent="0.3">
      <c r="A797" s="9" t="s">
        <v>46</v>
      </c>
      <c r="B797" s="10" t="s">
        <v>24</v>
      </c>
      <c r="C797" s="11" t="s">
        <v>16</v>
      </c>
      <c r="D797" s="10" t="s">
        <v>20</v>
      </c>
      <c r="E797" s="12">
        <v>42273</v>
      </c>
      <c r="F797" s="31">
        <v>79.989999999999995</v>
      </c>
      <c r="G797" s="13">
        <v>7</v>
      </c>
      <c r="H797" s="31">
        <f t="shared" si="14"/>
        <v>559.92999999999995</v>
      </c>
      <c r="I797" s="19"/>
    </row>
    <row r="798" spans="1:9" x14ac:dyDescent="0.3">
      <c r="A798" s="9" t="s">
        <v>46</v>
      </c>
      <c r="B798" s="10" t="s">
        <v>27</v>
      </c>
      <c r="C798" s="11" t="s">
        <v>16</v>
      </c>
      <c r="D798" s="10" t="s">
        <v>18</v>
      </c>
      <c r="E798" s="12">
        <v>41912</v>
      </c>
      <c r="F798" s="31">
        <v>799.95</v>
      </c>
      <c r="G798" s="13">
        <v>6</v>
      </c>
      <c r="H798" s="31">
        <f t="shared" si="14"/>
        <v>4799.7000000000007</v>
      </c>
      <c r="I798" s="19"/>
    </row>
    <row r="799" spans="1:9" x14ac:dyDescent="0.3">
      <c r="A799" s="17" t="s">
        <v>37</v>
      </c>
      <c r="B799" s="10" t="s">
        <v>27</v>
      </c>
      <c r="C799" s="11" t="s">
        <v>14</v>
      </c>
      <c r="D799" s="10" t="s">
        <v>20</v>
      </c>
      <c r="E799" s="12">
        <v>42110</v>
      </c>
      <c r="F799" s="31">
        <v>799.95</v>
      </c>
      <c r="G799" s="13">
        <v>9</v>
      </c>
      <c r="H799" s="31">
        <f t="shared" si="14"/>
        <v>7199.55</v>
      </c>
      <c r="I799" s="19"/>
    </row>
    <row r="800" spans="1:9" x14ac:dyDescent="0.3">
      <c r="A800" s="17" t="s">
        <v>37</v>
      </c>
      <c r="B800" s="10" t="s">
        <v>24</v>
      </c>
      <c r="C800" s="11" t="s">
        <v>14</v>
      </c>
      <c r="D800" s="10" t="s">
        <v>20</v>
      </c>
      <c r="E800" s="12">
        <v>42342</v>
      </c>
      <c r="F800" s="31">
        <v>79.989999999999995</v>
      </c>
      <c r="G800" s="13">
        <v>5</v>
      </c>
      <c r="H800" s="31">
        <f t="shared" si="14"/>
        <v>399.95</v>
      </c>
      <c r="I800" s="19"/>
    </row>
    <row r="801" spans="1:9" x14ac:dyDescent="0.3">
      <c r="A801" s="17" t="s">
        <v>45</v>
      </c>
      <c r="B801" s="10" t="s">
        <v>25</v>
      </c>
      <c r="C801" s="11" t="s">
        <v>15</v>
      </c>
      <c r="D801" s="10" t="s">
        <v>19</v>
      </c>
      <c r="E801" s="12">
        <v>42092</v>
      </c>
      <c r="F801" s="31">
        <v>340.95</v>
      </c>
      <c r="G801" s="13">
        <v>6</v>
      </c>
      <c r="H801" s="31">
        <f t="shared" si="14"/>
        <v>2045.6999999999998</v>
      </c>
      <c r="I801" s="19"/>
    </row>
    <row r="802" spans="1:9" x14ac:dyDescent="0.3">
      <c r="A802" s="9" t="s">
        <v>46</v>
      </c>
      <c r="B802" s="10" t="s">
        <v>23</v>
      </c>
      <c r="C802" s="11" t="s">
        <v>16</v>
      </c>
      <c r="D802" s="10" t="s">
        <v>22</v>
      </c>
      <c r="E802" s="12">
        <v>41742</v>
      </c>
      <c r="F802" s="31">
        <v>340.95</v>
      </c>
      <c r="G802" s="13">
        <v>14</v>
      </c>
      <c r="H802" s="31">
        <f t="shared" si="14"/>
        <v>4773.3</v>
      </c>
      <c r="I802" s="19"/>
    </row>
    <row r="803" spans="1:9" x14ac:dyDescent="0.3">
      <c r="A803" s="9" t="s">
        <v>46</v>
      </c>
      <c r="B803" s="10" t="s">
        <v>23</v>
      </c>
      <c r="C803" s="11" t="s">
        <v>16</v>
      </c>
      <c r="D803" s="10" t="s">
        <v>20</v>
      </c>
      <c r="E803" s="12">
        <v>42326</v>
      </c>
      <c r="F803" s="31">
        <v>340.95</v>
      </c>
      <c r="G803" s="13">
        <v>3</v>
      </c>
      <c r="H803" s="31">
        <f t="shared" si="14"/>
        <v>1022.8499999999999</v>
      </c>
      <c r="I803" s="19"/>
    </row>
    <row r="804" spans="1:9" x14ac:dyDescent="0.3">
      <c r="A804" s="17" t="s">
        <v>45</v>
      </c>
      <c r="B804" s="10" t="s">
        <v>23</v>
      </c>
      <c r="C804" s="11" t="s">
        <v>15</v>
      </c>
      <c r="D804" s="10" t="s">
        <v>20</v>
      </c>
      <c r="E804" s="12">
        <v>41934</v>
      </c>
      <c r="F804" s="31">
        <v>340.95</v>
      </c>
      <c r="G804" s="13">
        <v>2</v>
      </c>
      <c r="H804" s="31">
        <f t="shared" si="14"/>
        <v>681.9</v>
      </c>
      <c r="I804" s="19"/>
    </row>
    <row r="805" spans="1:9" x14ac:dyDescent="0.3">
      <c r="A805" s="17" t="s">
        <v>45</v>
      </c>
      <c r="B805" s="10" t="s">
        <v>27</v>
      </c>
      <c r="C805" s="11" t="s">
        <v>15</v>
      </c>
      <c r="D805" s="10" t="s">
        <v>19</v>
      </c>
      <c r="E805" s="12">
        <v>41759</v>
      </c>
      <c r="F805" s="31">
        <v>799.95</v>
      </c>
      <c r="G805" s="13">
        <v>2</v>
      </c>
      <c r="H805" s="31">
        <f t="shared" si="14"/>
        <v>1599.9</v>
      </c>
      <c r="I805" s="19"/>
    </row>
    <row r="806" spans="1:9" x14ac:dyDescent="0.3">
      <c r="A806" s="17" t="s">
        <v>39</v>
      </c>
      <c r="B806" s="10" t="s">
        <v>23</v>
      </c>
      <c r="C806" s="11" t="s">
        <v>14</v>
      </c>
      <c r="D806" s="10" t="s">
        <v>18</v>
      </c>
      <c r="E806" s="12">
        <v>41927</v>
      </c>
      <c r="F806" s="31">
        <v>340.95</v>
      </c>
      <c r="G806" s="13">
        <v>13</v>
      </c>
      <c r="H806" s="31">
        <f t="shared" si="14"/>
        <v>4432.3499999999995</v>
      </c>
      <c r="I806" s="19"/>
    </row>
    <row r="807" spans="1:9" x14ac:dyDescent="0.3">
      <c r="A807" s="17" t="s">
        <v>45</v>
      </c>
      <c r="B807" s="10" t="s">
        <v>23</v>
      </c>
      <c r="C807" s="11" t="s">
        <v>15</v>
      </c>
      <c r="D807" s="10" t="s">
        <v>22</v>
      </c>
      <c r="E807" s="12">
        <v>41977</v>
      </c>
      <c r="F807" s="31">
        <v>340.95</v>
      </c>
      <c r="G807" s="13">
        <v>15</v>
      </c>
      <c r="H807" s="31">
        <f t="shared" si="14"/>
        <v>5114.25</v>
      </c>
      <c r="I807" s="19"/>
    </row>
    <row r="808" spans="1:9" x14ac:dyDescent="0.3">
      <c r="A808" s="17" t="s">
        <v>37</v>
      </c>
      <c r="B808" s="10" t="s">
        <v>27</v>
      </c>
      <c r="C808" s="11" t="s">
        <v>14</v>
      </c>
      <c r="D808" s="10" t="s">
        <v>19</v>
      </c>
      <c r="E808" s="12">
        <v>42340</v>
      </c>
      <c r="F808" s="31">
        <v>799.95</v>
      </c>
      <c r="G808" s="13">
        <v>15</v>
      </c>
      <c r="H808" s="31">
        <f t="shared" si="14"/>
        <v>11999.25</v>
      </c>
      <c r="I808" s="19"/>
    </row>
    <row r="809" spans="1:9" x14ac:dyDescent="0.3">
      <c r="A809" s="17" t="s">
        <v>37</v>
      </c>
      <c r="B809" s="10" t="s">
        <v>23</v>
      </c>
      <c r="C809" s="11" t="s">
        <v>14</v>
      </c>
      <c r="D809" s="10" t="s">
        <v>20</v>
      </c>
      <c r="E809" s="12">
        <v>42362</v>
      </c>
      <c r="F809" s="31">
        <v>340.95</v>
      </c>
      <c r="G809" s="13">
        <v>15</v>
      </c>
      <c r="H809" s="31">
        <f t="shared" si="14"/>
        <v>5114.25</v>
      </c>
      <c r="I809" s="19"/>
    </row>
    <row r="810" spans="1:9" x14ac:dyDescent="0.3">
      <c r="A810" s="9" t="s">
        <v>42</v>
      </c>
      <c r="B810" s="10" t="s">
        <v>26</v>
      </c>
      <c r="C810" s="11" t="s">
        <v>15</v>
      </c>
      <c r="D810" s="10" t="s">
        <v>22</v>
      </c>
      <c r="E810" s="12">
        <v>42005</v>
      </c>
      <c r="F810" s="31">
        <v>168.95</v>
      </c>
      <c r="G810" s="13">
        <v>4</v>
      </c>
      <c r="H810" s="31">
        <f t="shared" si="14"/>
        <v>675.8</v>
      </c>
      <c r="I810" s="19"/>
    </row>
    <row r="811" spans="1:9" x14ac:dyDescent="0.3">
      <c r="A811" s="9" t="s">
        <v>36</v>
      </c>
      <c r="B811" s="10" t="s">
        <v>24</v>
      </c>
      <c r="C811" s="11" t="s">
        <v>15</v>
      </c>
      <c r="D811" s="10" t="s">
        <v>18</v>
      </c>
      <c r="E811" s="12">
        <v>41682</v>
      </c>
      <c r="F811" s="31">
        <v>79.989999999999995</v>
      </c>
      <c r="G811" s="13">
        <v>14</v>
      </c>
      <c r="H811" s="31">
        <f t="shared" si="14"/>
        <v>1119.8599999999999</v>
      </c>
      <c r="I811" s="19"/>
    </row>
    <row r="812" spans="1:9" x14ac:dyDescent="0.3">
      <c r="A812" s="9" t="s">
        <v>38</v>
      </c>
      <c r="B812" s="10" t="s">
        <v>25</v>
      </c>
      <c r="C812" s="11" t="s">
        <v>16</v>
      </c>
      <c r="D812" s="10" t="s">
        <v>22</v>
      </c>
      <c r="E812" s="12">
        <v>42129</v>
      </c>
      <c r="F812" s="31">
        <v>340.95</v>
      </c>
      <c r="G812" s="13">
        <v>1</v>
      </c>
      <c r="H812" s="31">
        <f t="shared" si="14"/>
        <v>340.95</v>
      </c>
      <c r="I812" s="19"/>
    </row>
    <row r="813" spans="1:9" x14ac:dyDescent="0.3">
      <c r="A813" s="17" t="s">
        <v>45</v>
      </c>
      <c r="B813" s="10" t="s">
        <v>26</v>
      </c>
      <c r="C813" s="11" t="s">
        <v>15</v>
      </c>
      <c r="D813" s="10" t="s">
        <v>21</v>
      </c>
      <c r="E813" s="12">
        <v>42036</v>
      </c>
      <c r="F813" s="31">
        <v>168.95</v>
      </c>
      <c r="G813" s="13">
        <v>4</v>
      </c>
      <c r="H813" s="31">
        <f t="shared" si="14"/>
        <v>675.8</v>
      </c>
      <c r="I813" s="19"/>
    </row>
    <row r="814" spans="1:9" x14ac:dyDescent="0.3">
      <c r="A814" s="9" t="s">
        <v>46</v>
      </c>
      <c r="B814" s="10" t="s">
        <v>26</v>
      </c>
      <c r="C814" s="11" t="s">
        <v>16</v>
      </c>
      <c r="D814" s="10" t="s">
        <v>18</v>
      </c>
      <c r="E814" s="12">
        <v>41888</v>
      </c>
      <c r="F814" s="31">
        <v>168.95</v>
      </c>
      <c r="G814" s="13">
        <v>9</v>
      </c>
      <c r="H814" s="31">
        <f t="shared" si="14"/>
        <v>1520.55</v>
      </c>
      <c r="I814" s="19"/>
    </row>
    <row r="815" spans="1:9" x14ac:dyDescent="0.3">
      <c r="A815" s="17" t="s">
        <v>44</v>
      </c>
      <c r="B815" s="10" t="s">
        <v>24</v>
      </c>
      <c r="C815" s="11" t="s">
        <v>14</v>
      </c>
      <c r="D815" s="10" t="s">
        <v>21</v>
      </c>
      <c r="E815" s="12">
        <v>42201</v>
      </c>
      <c r="F815" s="31">
        <v>79.989999999999995</v>
      </c>
      <c r="G815" s="13">
        <v>15</v>
      </c>
      <c r="H815" s="31">
        <f t="shared" si="14"/>
        <v>1199.8499999999999</v>
      </c>
      <c r="I815" s="19"/>
    </row>
    <row r="816" spans="1:9" x14ac:dyDescent="0.3">
      <c r="A816" s="17" t="s">
        <v>37</v>
      </c>
      <c r="B816" s="10" t="s">
        <v>26</v>
      </c>
      <c r="C816" s="11" t="s">
        <v>14</v>
      </c>
      <c r="D816" s="10" t="s">
        <v>19</v>
      </c>
      <c r="E816" s="12">
        <v>42182</v>
      </c>
      <c r="F816" s="31">
        <v>168.95</v>
      </c>
      <c r="G816" s="13">
        <v>3</v>
      </c>
      <c r="H816" s="31">
        <f t="shared" si="14"/>
        <v>506.84999999999997</v>
      </c>
      <c r="I816" s="19"/>
    </row>
    <row r="817" spans="1:9" x14ac:dyDescent="0.3">
      <c r="A817" s="9" t="s">
        <v>38</v>
      </c>
      <c r="B817" s="10" t="s">
        <v>24</v>
      </c>
      <c r="C817" s="11" t="s">
        <v>15</v>
      </c>
      <c r="D817" s="10" t="s">
        <v>19</v>
      </c>
      <c r="E817" s="12">
        <v>42147</v>
      </c>
      <c r="F817" s="31">
        <v>79.989999999999995</v>
      </c>
      <c r="G817" s="13">
        <v>2</v>
      </c>
      <c r="H817" s="31">
        <f t="shared" si="14"/>
        <v>159.97999999999999</v>
      </c>
      <c r="I817" s="19"/>
    </row>
    <row r="818" spans="1:9" x14ac:dyDescent="0.3">
      <c r="A818" s="9" t="s">
        <v>0</v>
      </c>
      <c r="B818" s="10" t="s">
        <v>23</v>
      </c>
      <c r="C818" s="11" t="s">
        <v>14</v>
      </c>
      <c r="D818" s="10" t="s">
        <v>20</v>
      </c>
      <c r="E818" s="12">
        <v>41878</v>
      </c>
      <c r="F818" s="31">
        <v>340.95</v>
      </c>
      <c r="G818" s="13">
        <v>15</v>
      </c>
      <c r="H818" s="31">
        <f t="shared" si="14"/>
        <v>5114.25</v>
      </c>
      <c r="I818" s="19"/>
    </row>
    <row r="819" spans="1:9" x14ac:dyDescent="0.3">
      <c r="A819" s="9" t="s">
        <v>46</v>
      </c>
      <c r="B819" s="10" t="s">
        <v>23</v>
      </c>
      <c r="C819" s="11" t="s">
        <v>16</v>
      </c>
      <c r="D819" s="10" t="s">
        <v>22</v>
      </c>
      <c r="E819" s="12">
        <v>42239</v>
      </c>
      <c r="F819" s="31">
        <v>340.95</v>
      </c>
      <c r="G819" s="13">
        <v>1</v>
      </c>
      <c r="H819" s="31">
        <f t="shared" si="14"/>
        <v>340.95</v>
      </c>
      <c r="I819" s="19"/>
    </row>
    <row r="820" spans="1:9" x14ac:dyDescent="0.3">
      <c r="A820" s="9" t="s">
        <v>46</v>
      </c>
      <c r="B820" s="10" t="s">
        <v>27</v>
      </c>
      <c r="C820" s="11" t="s">
        <v>16</v>
      </c>
      <c r="D820" s="10" t="s">
        <v>21</v>
      </c>
      <c r="E820" s="12">
        <v>41824</v>
      </c>
      <c r="F820" s="31">
        <v>799.95</v>
      </c>
      <c r="G820" s="13">
        <v>11</v>
      </c>
      <c r="H820" s="31">
        <f t="shared" si="14"/>
        <v>8799.4500000000007</v>
      </c>
      <c r="I820" s="19"/>
    </row>
    <row r="821" spans="1:9" x14ac:dyDescent="0.3">
      <c r="A821" s="17" t="s">
        <v>37</v>
      </c>
      <c r="B821" s="10" t="s">
        <v>23</v>
      </c>
      <c r="C821" s="11" t="s">
        <v>14</v>
      </c>
      <c r="D821" s="10" t="s">
        <v>21</v>
      </c>
      <c r="E821" s="12">
        <v>42000</v>
      </c>
      <c r="F821" s="31">
        <v>340.95</v>
      </c>
      <c r="G821" s="13">
        <v>3</v>
      </c>
      <c r="H821" s="31">
        <f t="shared" si="14"/>
        <v>1022.8499999999999</v>
      </c>
      <c r="I821" s="19"/>
    </row>
    <row r="822" spans="1:9" x14ac:dyDescent="0.3">
      <c r="A822" s="9" t="s">
        <v>38</v>
      </c>
      <c r="B822" s="10" t="s">
        <v>27</v>
      </c>
      <c r="C822" s="11" t="s">
        <v>15</v>
      </c>
      <c r="D822" s="10" t="s">
        <v>18</v>
      </c>
      <c r="E822" s="12">
        <v>42078</v>
      </c>
      <c r="F822" s="31">
        <v>799.95</v>
      </c>
      <c r="G822" s="13">
        <v>8</v>
      </c>
      <c r="H822" s="31">
        <f t="shared" si="14"/>
        <v>6399.6</v>
      </c>
      <c r="I822" s="19"/>
    </row>
    <row r="823" spans="1:9" x14ac:dyDescent="0.3">
      <c r="A823" s="9" t="s">
        <v>40</v>
      </c>
      <c r="B823" s="10" t="s">
        <v>25</v>
      </c>
      <c r="C823" s="11" t="s">
        <v>17</v>
      </c>
      <c r="D823" s="10" t="s">
        <v>18</v>
      </c>
      <c r="E823" s="12">
        <v>41846</v>
      </c>
      <c r="F823" s="31">
        <v>340.95</v>
      </c>
      <c r="G823" s="13">
        <v>12</v>
      </c>
      <c r="H823" s="31">
        <f t="shared" si="14"/>
        <v>4091.3999999999996</v>
      </c>
      <c r="I823" s="19"/>
    </row>
    <row r="824" spans="1:9" x14ac:dyDescent="0.3">
      <c r="A824" s="17" t="s">
        <v>45</v>
      </c>
      <c r="B824" s="10" t="s">
        <v>25</v>
      </c>
      <c r="C824" s="11" t="s">
        <v>15</v>
      </c>
      <c r="D824" s="10" t="s">
        <v>19</v>
      </c>
      <c r="E824" s="12">
        <v>41990</v>
      </c>
      <c r="F824" s="31">
        <v>340.95</v>
      </c>
      <c r="G824" s="13">
        <v>2</v>
      </c>
      <c r="H824" s="31">
        <f t="shared" si="14"/>
        <v>681.9</v>
      </c>
      <c r="I824" s="19"/>
    </row>
    <row r="825" spans="1:9" x14ac:dyDescent="0.3">
      <c r="A825" s="9" t="s">
        <v>42</v>
      </c>
      <c r="B825" s="10" t="s">
        <v>27</v>
      </c>
      <c r="C825" s="11" t="s">
        <v>15</v>
      </c>
      <c r="D825" s="10" t="s">
        <v>21</v>
      </c>
      <c r="E825" s="12">
        <v>41843</v>
      </c>
      <c r="F825" s="31">
        <v>799.95</v>
      </c>
      <c r="G825" s="13">
        <v>2</v>
      </c>
      <c r="H825" s="31">
        <f t="shared" si="14"/>
        <v>1599.9</v>
      </c>
      <c r="I825" s="19"/>
    </row>
    <row r="826" spans="1:9" x14ac:dyDescent="0.3">
      <c r="A826" s="17" t="s">
        <v>45</v>
      </c>
      <c r="B826" s="10" t="s">
        <v>25</v>
      </c>
      <c r="C826" s="11" t="s">
        <v>15</v>
      </c>
      <c r="D826" s="10" t="s">
        <v>22</v>
      </c>
      <c r="E826" s="12">
        <v>41940</v>
      </c>
      <c r="F826" s="31">
        <v>340.95</v>
      </c>
      <c r="G826" s="13">
        <v>2</v>
      </c>
      <c r="H826" s="31">
        <f t="shared" si="14"/>
        <v>681.9</v>
      </c>
      <c r="I826" s="19"/>
    </row>
    <row r="827" spans="1:9" x14ac:dyDescent="0.3">
      <c r="A827" s="17" t="s">
        <v>44</v>
      </c>
      <c r="B827" s="10" t="s">
        <v>25</v>
      </c>
      <c r="C827" s="11" t="s">
        <v>14</v>
      </c>
      <c r="D827" s="10" t="s">
        <v>18</v>
      </c>
      <c r="E827" s="12">
        <v>42090</v>
      </c>
      <c r="F827" s="31">
        <v>340.95</v>
      </c>
      <c r="G827" s="13">
        <v>18</v>
      </c>
      <c r="H827" s="31">
        <f t="shared" si="14"/>
        <v>6137.0999999999995</v>
      </c>
      <c r="I827" s="19"/>
    </row>
    <row r="828" spans="1:9" x14ac:dyDescent="0.3">
      <c r="A828" s="17" t="s">
        <v>45</v>
      </c>
      <c r="B828" s="10" t="s">
        <v>23</v>
      </c>
      <c r="C828" s="11" t="s">
        <v>15</v>
      </c>
      <c r="D828" s="10" t="s">
        <v>21</v>
      </c>
      <c r="E828" s="12">
        <v>42232</v>
      </c>
      <c r="F828" s="31">
        <v>340.95</v>
      </c>
      <c r="G828" s="13">
        <v>9</v>
      </c>
      <c r="H828" s="31">
        <f t="shared" si="14"/>
        <v>3068.5499999999997</v>
      </c>
      <c r="I828" s="19"/>
    </row>
    <row r="829" spans="1:9" x14ac:dyDescent="0.3">
      <c r="A829" s="17" t="s">
        <v>43</v>
      </c>
      <c r="B829" s="10" t="s">
        <v>27</v>
      </c>
      <c r="C829" s="11" t="s">
        <v>16</v>
      </c>
      <c r="D829" s="10" t="s">
        <v>19</v>
      </c>
      <c r="E829" s="12">
        <v>41843</v>
      </c>
      <c r="F829" s="31">
        <v>799.95</v>
      </c>
      <c r="G829" s="13">
        <v>15</v>
      </c>
      <c r="H829" s="31">
        <f t="shared" si="14"/>
        <v>11999.25</v>
      </c>
      <c r="I829" s="19"/>
    </row>
    <row r="830" spans="1:9" x14ac:dyDescent="0.3">
      <c r="A830" s="9" t="s">
        <v>42</v>
      </c>
      <c r="B830" s="10" t="s">
        <v>23</v>
      </c>
      <c r="C830" s="11" t="s">
        <v>15</v>
      </c>
      <c r="D830" s="10" t="s">
        <v>18</v>
      </c>
      <c r="E830" s="12">
        <v>41738</v>
      </c>
      <c r="F830" s="31">
        <v>340.95</v>
      </c>
      <c r="G830" s="13">
        <v>18</v>
      </c>
      <c r="H830" s="31">
        <f t="shared" si="14"/>
        <v>6137.0999999999995</v>
      </c>
      <c r="I830" s="19"/>
    </row>
    <row r="831" spans="1:9" x14ac:dyDescent="0.3">
      <c r="A831" s="9" t="s">
        <v>38</v>
      </c>
      <c r="B831" s="10" t="s">
        <v>27</v>
      </c>
      <c r="C831" s="11" t="s">
        <v>15</v>
      </c>
      <c r="D831" s="10" t="s">
        <v>22</v>
      </c>
      <c r="E831" s="12">
        <v>41958</v>
      </c>
      <c r="F831" s="31">
        <v>799.95</v>
      </c>
      <c r="G831" s="13">
        <v>3</v>
      </c>
      <c r="H831" s="31">
        <f t="shared" si="14"/>
        <v>2399.8500000000004</v>
      </c>
      <c r="I831" s="19"/>
    </row>
    <row r="832" spans="1:9" x14ac:dyDescent="0.3">
      <c r="A832" s="9" t="s">
        <v>36</v>
      </c>
      <c r="B832" s="10" t="s">
        <v>24</v>
      </c>
      <c r="C832" s="11" t="s">
        <v>15</v>
      </c>
      <c r="D832" s="10" t="s">
        <v>21</v>
      </c>
      <c r="E832" s="12">
        <v>41846</v>
      </c>
      <c r="F832" s="31">
        <v>79.989999999999995</v>
      </c>
      <c r="G832" s="13">
        <v>9</v>
      </c>
      <c r="H832" s="31">
        <f t="shared" si="14"/>
        <v>719.91</v>
      </c>
      <c r="I832" s="19"/>
    </row>
    <row r="833" spans="1:9" x14ac:dyDescent="0.3">
      <c r="A833" s="9" t="s">
        <v>0</v>
      </c>
      <c r="B833" s="10" t="s">
        <v>25</v>
      </c>
      <c r="C833" s="11" t="s">
        <v>14</v>
      </c>
      <c r="D833" s="10" t="s">
        <v>19</v>
      </c>
      <c r="E833" s="12">
        <v>42046</v>
      </c>
      <c r="F833" s="31">
        <v>340.95</v>
      </c>
      <c r="G833" s="13">
        <v>7</v>
      </c>
      <c r="H833" s="31">
        <f t="shared" si="14"/>
        <v>2386.65</v>
      </c>
      <c r="I833" s="19"/>
    </row>
    <row r="834" spans="1:9" x14ac:dyDescent="0.3">
      <c r="A834" s="9" t="s">
        <v>42</v>
      </c>
      <c r="B834" s="10" t="s">
        <v>25</v>
      </c>
      <c r="C834" s="11" t="s">
        <v>15</v>
      </c>
      <c r="D834" s="10" t="s">
        <v>20</v>
      </c>
      <c r="E834" s="12">
        <v>41815</v>
      </c>
      <c r="F834" s="31">
        <v>340.95</v>
      </c>
      <c r="G834" s="13">
        <v>8</v>
      </c>
      <c r="H834" s="31">
        <f t="shared" ref="H834:H897" si="15">F834*G834</f>
        <v>2727.6</v>
      </c>
      <c r="I834" s="19"/>
    </row>
    <row r="835" spans="1:9" x14ac:dyDescent="0.3">
      <c r="A835" s="9" t="s">
        <v>0</v>
      </c>
      <c r="B835" s="10" t="s">
        <v>23</v>
      </c>
      <c r="C835" s="11" t="s">
        <v>14</v>
      </c>
      <c r="D835" s="10" t="s">
        <v>22</v>
      </c>
      <c r="E835" s="12">
        <v>41817</v>
      </c>
      <c r="F835" s="31">
        <v>340.95</v>
      </c>
      <c r="G835" s="13">
        <v>2</v>
      </c>
      <c r="H835" s="31">
        <f t="shared" si="15"/>
        <v>681.9</v>
      </c>
      <c r="I835" s="19"/>
    </row>
    <row r="836" spans="1:9" x14ac:dyDescent="0.3">
      <c r="A836" s="17" t="s">
        <v>45</v>
      </c>
      <c r="B836" s="10" t="s">
        <v>26</v>
      </c>
      <c r="C836" s="11" t="s">
        <v>15</v>
      </c>
      <c r="D836" s="10" t="s">
        <v>18</v>
      </c>
      <c r="E836" s="12">
        <v>42014</v>
      </c>
      <c r="F836" s="31">
        <v>168.95</v>
      </c>
      <c r="G836" s="13">
        <v>16</v>
      </c>
      <c r="H836" s="31">
        <f t="shared" si="15"/>
        <v>2703.2</v>
      </c>
      <c r="I836" s="19"/>
    </row>
    <row r="837" spans="1:9" x14ac:dyDescent="0.3">
      <c r="A837" s="17" t="s">
        <v>41</v>
      </c>
      <c r="B837" s="10" t="s">
        <v>26</v>
      </c>
      <c r="C837" s="11" t="s">
        <v>17</v>
      </c>
      <c r="D837" s="10" t="s">
        <v>18</v>
      </c>
      <c r="E837" s="12">
        <v>42153</v>
      </c>
      <c r="F837" s="31">
        <v>168.95</v>
      </c>
      <c r="G837" s="13">
        <v>17</v>
      </c>
      <c r="H837" s="31">
        <f t="shared" si="15"/>
        <v>2872.1499999999996</v>
      </c>
      <c r="I837" s="19"/>
    </row>
    <row r="838" spans="1:9" x14ac:dyDescent="0.3">
      <c r="A838" s="17" t="s">
        <v>43</v>
      </c>
      <c r="B838" s="10" t="s">
        <v>24</v>
      </c>
      <c r="C838" s="11" t="s">
        <v>16</v>
      </c>
      <c r="D838" s="10" t="s">
        <v>21</v>
      </c>
      <c r="E838" s="12">
        <v>42057</v>
      </c>
      <c r="F838" s="31">
        <v>79.989999999999995</v>
      </c>
      <c r="G838" s="13">
        <v>3</v>
      </c>
      <c r="H838" s="31">
        <f t="shared" si="15"/>
        <v>239.96999999999997</v>
      </c>
      <c r="I838" s="19"/>
    </row>
    <row r="839" spans="1:9" x14ac:dyDescent="0.3">
      <c r="A839" s="17" t="s">
        <v>39</v>
      </c>
      <c r="B839" s="10" t="s">
        <v>26</v>
      </c>
      <c r="C839" s="11" t="s">
        <v>14</v>
      </c>
      <c r="D839" s="10" t="s">
        <v>22</v>
      </c>
      <c r="E839" s="12">
        <v>42328</v>
      </c>
      <c r="F839" s="31">
        <v>168.95</v>
      </c>
      <c r="G839" s="13">
        <v>3</v>
      </c>
      <c r="H839" s="31">
        <f t="shared" si="15"/>
        <v>506.84999999999997</v>
      </c>
      <c r="I839" s="19"/>
    </row>
    <row r="840" spans="1:9" x14ac:dyDescent="0.3">
      <c r="A840" s="9" t="s">
        <v>46</v>
      </c>
      <c r="B840" s="10" t="s">
        <v>25</v>
      </c>
      <c r="C840" s="11" t="s">
        <v>16</v>
      </c>
      <c r="D840" s="10" t="s">
        <v>20</v>
      </c>
      <c r="E840" s="12">
        <v>41913</v>
      </c>
      <c r="F840" s="31">
        <v>340.95</v>
      </c>
      <c r="G840" s="13">
        <v>12</v>
      </c>
      <c r="H840" s="31">
        <f t="shared" si="15"/>
        <v>4091.3999999999996</v>
      </c>
      <c r="I840" s="19"/>
    </row>
    <row r="841" spans="1:9" x14ac:dyDescent="0.3">
      <c r="A841" s="9" t="s">
        <v>36</v>
      </c>
      <c r="B841" s="10" t="s">
        <v>24</v>
      </c>
      <c r="C841" s="11" t="s">
        <v>15</v>
      </c>
      <c r="D841" s="10" t="s">
        <v>18</v>
      </c>
      <c r="E841" s="12">
        <v>41725</v>
      </c>
      <c r="F841" s="31">
        <v>79.989999999999995</v>
      </c>
      <c r="G841" s="13">
        <v>20</v>
      </c>
      <c r="H841" s="31">
        <f t="shared" si="15"/>
        <v>1599.8</v>
      </c>
      <c r="I841" s="19"/>
    </row>
    <row r="842" spans="1:9" x14ac:dyDescent="0.3">
      <c r="A842" s="9" t="s">
        <v>36</v>
      </c>
      <c r="B842" s="10" t="s">
        <v>25</v>
      </c>
      <c r="C842" s="11" t="s">
        <v>15</v>
      </c>
      <c r="D842" s="10" t="s">
        <v>22</v>
      </c>
      <c r="E842" s="12">
        <v>42103</v>
      </c>
      <c r="F842" s="31">
        <v>340.95</v>
      </c>
      <c r="G842" s="13">
        <v>4</v>
      </c>
      <c r="H842" s="31">
        <f t="shared" si="15"/>
        <v>1363.8</v>
      </c>
      <c r="I842" s="19"/>
    </row>
    <row r="843" spans="1:9" x14ac:dyDescent="0.3">
      <c r="A843" s="17" t="s">
        <v>39</v>
      </c>
      <c r="B843" s="10" t="s">
        <v>24</v>
      </c>
      <c r="C843" s="11" t="s">
        <v>14</v>
      </c>
      <c r="D843" s="10" t="s">
        <v>20</v>
      </c>
      <c r="E843" s="12">
        <v>42262</v>
      </c>
      <c r="F843" s="31">
        <v>79.989999999999995</v>
      </c>
      <c r="G843" s="13">
        <v>15</v>
      </c>
      <c r="H843" s="31">
        <f t="shared" si="15"/>
        <v>1199.8499999999999</v>
      </c>
      <c r="I843" s="19"/>
    </row>
    <row r="844" spans="1:9" x14ac:dyDescent="0.3">
      <c r="A844" s="17" t="s">
        <v>41</v>
      </c>
      <c r="B844" s="10" t="s">
        <v>23</v>
      </c>
      <c r="C844" s="11" t="s">
        <v>17</v>
      </c>
      <c r="D844" s="10" t="s">
        <v>21</v>
      </c>
      <c r="E844" s="12">
        <v>42036</v>
      </c>
      <c r="F844" s="31">
        <v>340.95</v>
      </c>
      <c r="G844" s="13">
        <v>15</v>
      </c>
      <c r="H844" s="31">
        <f t="shared" si="15"/>
        <v>5114.25</v>
      </c>
      <c r="I844" s="19"/>
    </row>
    <row r="845" spans="1:9" x14ac:dyDescent="0.3">
      <c r="A845" s="9" t="s">
        <v>38</v>
      </c>
      <c r="B845" s="10" t="s">
        <v>26</v>
      </c>
      <c r="C845" s="11" t="s">
        <v>15</v>
      </c>
      <c r="D845" s="10" t="s">
        <v>20</v>
      </c>
      <c r="E845" s="12">
        <v>42062</v>
      </c>
      <c r="F845" s="31">
        <v>168.95</v>
      </c>
      <c r="G845" s="13">
        <v>8</v>
      </c>
      <c r="H845" s="31">
        <f t="shared" si="15"/>
        <v>1351.6</v>
      </c>
      <c r="I845" s="19"/>
    </row>
    <row r="846" spans="1:9" x14ac:dyDescent="0.3">
      <c r="A846" s="17" t="s">
        <v>43</v>
      </c>
      <c r="B846" s="10" t="s">
        <v>26</v>
      </c>
      <c r="C846" s="11" t="s">
        <v>16</v>
      </c>
      <c r="D846" s="10" t="s">
        <v>18</v>
      </c>
      <c r="E846" s="12">
        <v>42270</v>
      </c>
      <c r="F846" s="31">
        <v>168.95</v>
      </c>
      <c r="G846" s="13">
        <v>20</v>
      </c>
      <c r="H846" s="31">
        <f t="shared" si="15"/>
        <v>3379</v>
      </c>
      <c r="I846" s="19"/>
    </row>
    <row r="847" spans="1:9" x14ac:dyDescent="0.3">
      <c r="A847" s="9" t="s">
        <v>0</v>
      </c>
      <c r="B847" s="10" t="s">
        <v>23</v>
      </c>
      <c r="C847" s="11" t="s">
        <v>14</v>
      </c>
      <c r="D847" s="10" t="s">
        <v>22</v>
      </c>
      <c r="E847" s="12">
        <v>41945</v>
      </c>
      <c r="F847" s="31">
        <v>340.95</v>
      </c>
      <c r="G847" s="13">
        <v>2</v>
      </c>
      <c r="H847" s="31">
        <f t="shared" si="15"/>
        <v>681.9</v>
      </c>
      <c r="I847" s="19"/>
    </row>
    <row r="848" spans="1:9" x14ac:dyDescent="0.3">
      <c r="A848" s="17" t="s">
        <v>39</v>
      </c>
      <c r="B848" s="10" t="s">
        <v>25</v>
      </c>
      <c r="C848" s="11" t="s">
        <v>14</v>
      </c>
      <c r="D848" s="10" t="s">
        <v>21</v>
      </c>
      <c r="E848" s="12">
        <v>42223</v>
      </c>
      <c r="F848" s="31">
        <v>340.95</v>
      </c>
      <c r="G848" s="13">
        <v>10</v>
      </c>
      <c r="H848" s="31">
        <f t="shared" si="15"/>
        <v>3409.5</v>
      </c>
      <c r="I848" s="19"/>
    </row>
    <row r="849" spans="1:9" x14ac:dyDescent="0.3">
      <c r="A849" s="17" t="s">
        <v>37</v>
      </c>
      <c r="B849" s="10" t="s">
        <v>25</v>
      </c>
      <c r="C849" s="11" t="s">
        <v>14</v>
      </c>
      <c r="D849" s="10" t="s">
        <v>19</v>
      </c>
      <c r="E849" s="12">
        <v>42295</v>
      </c>
      <c r="F849" s="31">
        <v>340.95</v>
      </c>
      <c r="G849" s="13">
        <v>8</v>
      </c>
      <c r="H849" s="31">
        <f t="shared" si="15"/>
        <v>2727.6</v>
      </c>
      <c r="I849" s="19"/>
    </row>
    <row r="850" spans="1:9" x14ac:dyDescent="0.3">
      <c r="A850" s="9" t="s">
        <v>38</v>
      </c>
      <c r="B850" s="10" t="s">
        <v>26</v>
      </c>
      <c r="C850" s="11" t="s">
        <v>15</v>
      </c>
      <c r="D850" s="10" t="s">
        <v>22</v>
      </c>
      <c r="E850" s="12">
        <v>42150</v>
      </c>
      <c r="F850" s="31">
        <v>168.95</v>
      </c>
      <c r="G850" s="13">
        <v>13</v>
      </c>
      <c r="H850" s="31">
        <f t="shared" si="15"/>
        <v>2196.35</v>
      </c>
      <c r="I850" s="19"/>
    </row>
    <row r="851" spans="1:9" x14ac:dyDescent="0.3">
      <c r="A851" s="17" t="s">
        <v>45</v>
      </c>
      <c r="B851" s="10" t="s">
        <v>23</v>
      </c>
      <c r="C851" s="11" t="s">
        <v>15</v>
      </c>
      <c r="D851" s="10" t="s">
        <v>22</v>
      </c>
      <c r="E851" s="12">
        <v>41836</v>
      </c>
      <c r="F851" s="31">
        <v>340.95</v>
      </c>
      <c r="G851" s="13">
        <v>13</v>
      </c>
      <c r="H851" s="31">
        <f t="shared" si="15"/>
        <v>4432.3499999999995</v>
      </c>
      <c r="I851" s="19"/>
    </row>
    <row r="852" spans="1:9" x14ac:dyDescent="0.3">
      <c r="A852" s="17" t="s">
        <v>37</v>
      </c>
      <c r="B852" s="10" t="s">
        <v>27</v>
      </c>
      <c r="C852" s="11" t="s">
        <v>14</v>
      </c>
      <c r="D852" s="10" t="s">
        <v>22</v>
      </c>
      <c r="E852" s="12">
        <v>41724</v>
      </c>
      <c r="F852" s="31">
        <v>799.95</v>
      </c>
      <c r="G852" s="13">
        <v>8</v>
      </c>
      <c r="H852" s="31">
        <f t="shared" si="15"/>
        <v>6399.6</v>
      </c>
      <c r="I852" s="19"/>
    </row>
    <row r="853" spans="1:9" x14ac:dyDescent="0.3">
      <c r="A853" s="9" t="s">
        <v>0</v>
      </c>
      <c r="B853" s="10" t="s">
        <v>27</v>
      </c>
      <c r="C853" s="11" t="s">
        <v>14</v>
      </c>
      <c r="D853" s="10" t="s">
        <v>20</v>
      </c>
      <c r="E853" s="12">
        <v>42015</v>
      </c>
      <c r="F853" s="31">
        <v>799.95</v>
      </c>
      <c r="G853" s="13">
        <v>7</v>
      </c>
      <c r="H853" s="31">
        <f t="shared" si="15"/>
        <v>5599.6500000000005</v>
      </c>
      <c r="I853" s="19"/>
    </row>
    <row r="854" spans="1:9" x14ac:dyDescent="0.3">
      <c r="A854" s="9" t="s">
        <v>46</v>
      </c>
      <c r="B854" s="10" t="s">
        <v>26</v>
      </c>
      <c r="C854" s="11" t="s">
        <v>16</v>
      </c>
      <c r="D854" s="10" t="s">
        <v>18</v>
      </c>
      <c r="E854" s="12">
        <v>41856</v>
      </c>
      <c r="F854" s="31">
        <v>168.95</v>
      </c>
      <c r="G854" s="13">
        <v>20</v>
      </c>
      <c r="H854" s="31">
        <f t="shared" si="15"/>
        <v>3379</v>
      </c>
      <c r="I854" s="19"/>
    </row>
    <row r="855" spans="1:9" x14ac:dyDescent="0.3">
      <c r="A855" s="9" t="s">
        <v>46</v>
      </c>
      <c r="B855" s="10" t="s">
        <v>24</v>
      </c>
      <c r="C855" s="11" t="s">
        <v>16</v>
      </c>
      <c r="D855" s="10" t="s">
        <v>21</v>
      </c>
      <c r="E855" s="12">
        <v>42262</v>
      </c>
      <c r="F855" s="31">
        <v>79.989999999999995</v>
      </c>
      <c r="G855" s="13">
        <v>7</v>
      </c>
      <c r="H855" s="31">
        <f t="shared" si="15"/>
        <v>559.92999999999995</v>
      </c>
      <c r="I855" s="19"/>
    </row>
    <row r="856" spans="1:9" x14ac:dyDescent="0.3">
      <c r="A856" s="9" t="s">
        <v>36</v>
      </c>
      <c r="B856" s="10" t="s">
        <v>26</v>
      </c>
      <c r="C856" s="11" t="s">
        <v>15</v>
      </c>
      <c r="D856" s="10" t="s">
        <v>20</v>
      </c>
      <c r="E856" s="12">
        <v>41831</v>
      </c>
      <c r="F856" s="31">
        <v>168.95</v>
      </c>
      <c r="G856" s="13">
        <v>14</v>
      </c>
      <c r="H856" s="31">
        <f t="shared" si="15"/>
        <v>2365.2999999999997</v>
      </c>
      <c r="I856" s="19"/>
    </row>
    <row r="857" spans="1:9" x14ac:dyDescent="0.3">
      <c r="A857" s="17" t="s">
        <v>41</v>
      </c>
      <c r="B857" s="10" t="s">
        <v>26</v>
      </c>
      <c r="C857" s="11" t="s">
        <v>17</v>
      </c>
      <c r="D857" s="10" t="s">
        <v>18</v>
      </c>
      <c r="E857" s="12">
        <v>42015</v>
      </c>
      <c r="F857" s="31">
        <v>168.95</v>
      </c>
      <c r="G857" s="13">
        <v>6</v>
      </c>
      <c r="H857" s="31">
        <f t="shared" si="15"/>
        <v>1013.6999999999999</v>
      </c>
      <c r="I857" s="19"/>
    </row>
    <row r="858" spans="1:9" x14ac:dyDescent="0.3">
      <c r="A858" s="9" t="s">
        <v>36</v>
      </c>
      <c r="B858" s="10" t="s">
        <v>26</v>
      </c>
      <c r="C858" s="11" t="s">
        <v>15</v>
      </c>
      <c r="D858" s="10" t="s">
        <v>19</v>
      </c>
      <c r="E858" s="12">
        <v>42322</v>
      </c>
      <c r="F858" s="31">
        <v>168.95</v>
      </c>
      <c r="G858" s="13">
        <v>6</v>
      </c>
      <c r="H858" s="31">
        <f t="shared" si="15"/>
        <v>1013.6999999999999</v>
      </c>
      <c r="I858" s="19"/>
    </row>
    <row r="859" spans="1:9" x14ac:dyDescent="0.3">
      <c r="A859" s="17" t="s">
        <v>44</v>
      </c>
      <c r="B859" s="10" t="s">
        <v>23</v>
      </c>
      <c r="C859" s="11" t="s">
        <v>14</v>
      </c>
      <c r="D859" s="10" t="s">
        <v>22</v>
      </c>
      <c r="E859" s="12">
        <v>42354</v>
      </c>
      <c r="F859" s="31">
        <v>340.95</v>
      </c>
      <c r="G859" s="13">
        <v>5</v>
      </c>
      <c r="H859" s="31">
        <f t="shared" si="15"/>
        <v>1704.75</v>
      </c>
      <c r="I859" s="19"/>
    </row>
    <row r="860" spans="1:9" x14ac:dyDescent="0.3">
      <c r="A860" s="9" t="s">
        <v>36</v>
      </c>
      <c r="B860" s="10" t="s">
        <v>23</v>
      </c>
      <c r="C860" s="11" t="s">
        <v>15</v>
      </c>
      <c r="D860" s="10" t="s">
        <v>18</v>
      </c>
      <c r="E860" s="12">
        <v>42353</v>
      </c>
      <c r="F860" s="31">
        <v>340.95</v>
      </c>
      <c r="G860" s="13">
        <v>13</v>
      </c>
      <c r="H860" s="31">
        <f t="shared" si="15"/>
        <v>4432.3499999999995</v>
      </c>
      <c r="I860" s="19"/>
    </row>
    <row r="861" spans="1:9" x14ac:dyDescent="0.3">
      <c r="A861" s="17" t="s">
        <v>43</v>
      </c>
      <c r="B861" s="10" t="s">
        <v>26</v>
      </c>
      <c r="C861" s="11" t="s">
        <v>16</v>
      </c>
      <c r="D861" s="10" t="s">
        <v>18</v>
      </c>
      <c r="E861" s="12">
        <v>42285</v>
      </c>
      <c r="F861" s="31">
        <v>168.95</v>
      </c>
      <c r="G861" s="13">
        <v>6</v>
      </c>
      <c r="H861" s="31">
        <f t="shared" si="15"/>
        <v>1013.6999999999999</v>
      </c>
      <c r="I861" s="19"/>
    </row>
    <row r="862" spans="1:9" x14ac:dyDescent="0.3">
      <c r="A862" s="17" t="s">
        <v>45</v>
      </c>
      <c r="B862" s="10" t="s">
        <v>23</v>
      </c>
      <c r="C862" s="11" t="s">
        <v>15</v>
      </c>
      <c r="D862" s="10" t="s">
        <v>22</v>
      </c>
      <c r="E862" s="12">
        <v>41975</v>
      </c>
      <c r="F862" s="31">
        <v>340.95</v>
      </c>
      <c r="G862" s="13">
        <v>14</v>
      </c>
      <c r="H862" s="31">
        <f t="shared" si="15"/>
        <v>4773.3</v>
      </c>
      <c r="I862" s="19"/>
    </row>
    <row r="863" spans="1:9" x14ac:dyDescent="0.3">
      <c r="A863" s="9" t="s">
        <v>36</v>
      </c>
      <c r="B863" s="10" t="s">
        <v>23</v>
      </c>
      <c r="C863" s="11" t="s">
        <v>15</v>
      </c>
      <c r="D863" s="10" t="s">
        <v>20</v>
      </c>
      <c r="E863" s="12">
        <v>42333</v>
      </c>
      <c r="F863" s="31">
        <v>340.95</v>
      </c>
      <c r="G863" s="13">
        <v>10</v>
      </c>
      <c r="H863" s="31">
        <f t="shared" si="15"/>
        <v>3409.5</v>
      </c>
      <c r="I863" s="19"/>
    </row>
    <row r="864" spans="1:9" x14ac:dyDescent="0.3">
      <c r="A864" s="9" t="s">
        <v>0</v>
      </c>
      <c r="B864" s="10" t="s">
        <v>27</v>
      </c>
      <c r="C864" s="11" t="s">
        <v>14</v>
      </c>
      <c r="D864" s="10" t="s">
        <v>21</v>
      </c>
      <c r="E864" s="12">
        <v>41710</v>
      </c>
      <c r="F864" s="31">
        <v>799.95</v>
      </c>
      <c r="G864" s="13">
        <v>8</v>
      </c>
      <c r="H864" s="31">
        <f t="shared" si="15"/>
        <v>6399.6</v>
      </c>
      <c r="I864" s="19"/>
    </row>
    <row r="865" spans="1:9" x14ac:dyDescent="0.3">
      <c r="A865" s="17" t="s">
        <v>37</v>
      </c>
      <c r="B865" s="10" t="s">
        <v>25</v>
      </c>
      <c r="C865" s="11" t="s">
        <v>14</v>
      </c>
      <c r="D865" s="10" t="s">
        <v>20</v>
      </c>
      <c r="E865" s="12">
        <v>41787</v>
      </c>
      <c r="F865" s="31">
        <v>340.95</v>
      </c>
      <c r="G865" s="13">
        <v>1</v>
      </c>
      <c r="H865" s="31">
        <f t="shared" si="15"/>
        <v>340.95</v>
      </c>
      <c r="I865" s="19"/>
    </row>
    <row r="866" spans="1:9" x14ac:dyDescent="0.3">
      <c r="A866" s="9" t="s">
        <v>36</v>
      </c>
      <c r="B866" s="10" t="s">
        <v>27</v>
      </c>
      <c r="C866" s="11" t="s">
        <v>15</v>
      </c>
      <c r="D866" s="10" t="s">
        <v>22</v>
      </c>
      <c r="E866" s="12">
        <v>42218</v>
      </c>
      <c r="F866" s="31">
        <v>799.95</v>
      </c>
      <c r="G866" s="13">
        <v>7</v>
      </c>
      <c r="H866" s="31">
        <f t="shared" si="15"/>
        <v>5599.6500000000005</v>
      </c>
      <c r="I866" s="19"/>
    </row>
    <row r="867" spans="1:9" x14ac:dyDescent="0.3">
      <c r="A867" s="17" t="s">
        <v>45</v>
      </c>
      <c r="B867" s="10" t="s">
        <v>27</v>
      </c>
      <c r="C867" s="11" t="s">
        <v>15</v>
      </c>
      <c r="D867" s="10" t="s">
        <v>21</v>
      </c>
      <c r="E867" s="12">
        <v>42176</v>
      </c>
      <c r="F867" s="31">
        <v>799.95</v>
      </c>
      <c r="G867" s="13">
        <v>12</v>
      </c>
      <c r="H867" s="31">
        <f t="shared" si="15"/>
        <v>9599.4000000000015</v>
      </c>
      <c r="I867" s="19"/>
    </row>
    <row r="868" spans="1:9" x14ac:dyDescent="0.3">
      <c r="A868" s="17" t="s">
        <v>43</v>
      </c>
      <c r="B868" s="10" t="s">
        <v>26</v>
      </c>
      <c r="C868" s="11" t="s">
        <v>16</v>
      </c>
      <c r="D868" s="10" t="s">
        <v>20</v>
      </c>
      <c r="E868" s="12">
        <v>42192</v>
      </c>
      <c r="F868" s="31">
        <v>168.95</v>
      </c>
      <c r="G868" s="13">
        <v>3</v>
      </c>
      <c r="H868" s="31">
        <f t="shared" si="15"/>
        <v>506.84999999999997</v>
      </c>
      <c r="I868" s="19"/>
    </row>
    <row r="869" spans="1:9" x14ac:dyDescent="0.3">
      <c r="A869" s="17" t="s">
        <v>39</v>
      </c>
      <c r="B869" s="10" t="s">
        <v>27</v>
      </c>
      <c r="C869" s="11" t="s">
        <v>14</v>
      </c>
      <c r="D869" s="10" t="s">
        <v>21</v>
      </c>
      <c r="E869" s="12">
        <v>42312</v>
      </c>
      <c r="F869" s="31">
        <v>799.95</v>
      </c>
      <c r="G869" s="13">
        <v>7</v>
      </c>
      <c r="H869" s="31">
        <f t="shared" si="15"/>
        <v>5599.6500000000005</v>
      </c>
      <c r="I869" s="19"/>
    </row>
    <row r="870" spans="1:9" x14ac:dyDescent="0.3">
      <c r="A870" s="9" t="s">
        <v>40</v>
      </c>
      <c r="B870" s="10" t="s">
        <v>25</v>
      </c>
      <c r="C870" s="11" t="s">
        <v>17</v>
      </c>
      <c r="D870" s="10" t="s">
        <v>22</v>
      </c>
      <c r="E870" s="12">
        <v>42312</v>
      </c>
      <c r="F870" s="31">
        <v>340.95</v>
      </c>
      <c r="G870" s="13">
        <v>11</v>
      </c>
      <c r="H870" s="31">
        <f t="shared" si="15"/>
        <v>3750.45</v>
      </c>
      <c r="I870" s="19"/>
    </row>
    <row r="871" spans="1:9" x14ac:dyDescent="0.3">
      <c r="A871" s="9" t="s">
        <v>40</v>
      </c>
      <c r="B871" s="10" t="s">
        <v>26</v>
      </c>
      <c r="C871" s="11" t="s">
        <v>17</v>
      </c>
      <c r="D871" s="10" t="s">
        <v>22</v>
      </c>
      <c r="E871" s="12">
        <v>41653</v>
      </c>
      <c r="F871" s="31">
        <v>168.95</v>
      </c>
      <c r="G871" s="13">
        <v>10</v>
      </c>
      <c r="H871" s="31">
        <f t="shared" si="15"/>
        <v>1689.5</v>
      </c>
      <c r="I871" s="19"/>
    </row>
    <row r="872" spans="1:9" x14ac:dyDescent="0.3">
      <c r="A872" s="17" t="s">
        <v>37</v>
      </c>
      <c r="B872" s="10" t="s">
        <v>26</v>
      </c>
      <c r="C872" s="11" t="s">
        <v>14</v>
      </c>
      <c r="D872" s="10" t="s">
        <v>19</v>
      </c>
      <c r="E872" s="12">
        <v>41872</v>
      </c>
      <c r="F872" s="31">
        <v>168.95</v>
      </c>
      <c r="G872" s="13">
        <v>1</v>
      </c>
      <c r="H872" s="31">
        <f t="shared" si="15"/>
        <v>168.95</v>
      </c>
      <c r="I872" s="19"/>
    </row>
    <row r="873" spans="1:9" x14ac:dyDescent="0.3">
      <c r="A873" s="9" t="s">
        <v>46</v>
      </c>
      <c r="B873" s="10" t="s">
        <v>23</v>
      </c>
      <c r="C873" s="11" t="s">
        <v>16</v>
      </c>
      <c r="D873" s="10" t="s">
        <v>18</v>
      </c>
      <c r="E873" s="12">
        <v>41976</v>
      </c>
      <c r="F873" s="31">
        <v>340.95</v>
      </c>
      <c r="G873" s="13">
        <v>13</v>
      </c>
      <c r="H873" s="31">
        <f t="shared" si="15"/>
        <v>4432.3499999999995</v>
      </c>
      <c r="I873" s="19"/>
    </row>
    <row r="874" spans="1:9" x14ac:dyDescent="0.3">
      <c r="A874" s="17" t="s">
        <v>41</v>
      </c>
      <c r="B874" s="10" t="s">
        <v>26</v>
      </c>
      <c r="C874" s="11" t="s">
        <v>17</v>
      </c>
      <c r="D874" s="10" t="s">
        <v>19</v>
      </c>
      <c r="E874" s="12">
        <v>42353</v>
      </c>
      <c r="F874" s="31">
        <v>168.95</v>
      </c>
      <c r="G874" s="13">
        <v>6</v>
      </c>
      <c r="H874" s="31">
        <f t="shared" si="15"/>
        <v>1013.6999999999999</v>
      </c>
      <c r="I874" s="19"/>
    </row>
    <row r="875" spans="1:9" x14ac:dyDescent="0.3">
      <c r="A875" s="9" t="s">
        <v>40</v>
      </c>
      <c r="B875" s="10" t="s">
        <v>25</v>
      </c>
      <c r="C875" s="11" t="s">
        <v>17</v>
      </c>
      <c r="D875" s="10" t="s">
        <v>22</v>
      </c>
      <c r="E875" s="12">
        <v>41692</v>
      </c>
      <c r="F875" s="31">
        <v>340.95</v>
      </c>
      <c r="G875" s="13">
        <v>2</v>
      </c>
      <c r="H875" s="31">
        <f t="shared" si="15"/>
        <v>681.9</v>
      </c>
      <c r="I875" s="19"/>
    </row>
    <row r="876" spans="1:9" x14ac:dyDescent="0.3">
      <c r="A876" s="9" t="s">
        <v>36</v>
      </c>
      <c r="B876" s="10" t="s">
        <v>25</v>
      </c>
      <c r="C876" s="11" t="s">
        <v>15</v>
      </c>
      <c r="D876" s="10" t="s">
        <v>22</v>
      </c>
      <c r="E876" s="12">
        <v>42021</v>
      </c>
      <c r="F876" s="31">
        <v>340.95</v>
      </c>
      <c r="G876" s="13">
        <v>12</v>
      </c>
      <c r="H876" s="31">
        <f t="shared" si="15"/>
        <v>4091.3999999999996</v>
      </c>
      <c r="I876" s="19"/>
    </row>
    <row r="877" spans="1:9" x14ac:dyDescent="0.3">
      <c r="A877" s="17" t="s">
        <v>44</v>
      </c>
      <c r="B877" s="10" t="s">
        <v>26</v>
      </c>
      <c r="C877" s="11" t="s">
        <v>14</v>
      </c>
      <c r="D877" s="10" t="s">
        <v>20</v>
      </c>
      <c r="E877" s="12">
        <v>41745</v>
      </c>
      <c r="F877" s="31">
        <v>168.95</v>
      </c>
      <c r="G877" s="13">
        <v>12</v>
      </c>
      <c r="H877" s="31">
        <f t="shared" si="15"/>
        <v>2027.3999999999999</v>
      </c>
      <c r="I877" s="19"/>
    </row>
    <row r="878" spans="1:9" x14ac:dyDescent="0.3">
      <c r="A878" s="9" t="s">
        <v>38</v>
      </c>
      <c r="B878" s="10" t="s">
        <v>24</v>
      </c>
      <c r="C878" s="11" t="s">
        <v>15</v>
      </c>
      <c r="D878" s="10" t="s">
        <v>18</v>
      </c>
      <c r="E878" s="12">
        <v>41754</v>
      </c>
      <c r="F878" s="31">
        <v>79.989999999999995</v>
      </c>
      <c r="G878" s="13">
        <v>10</v>
      </c>
      <c r="H878" s="31">
        <f t="shared" si="15"/>
        <v>799.9</v>
      </c>
      <c r="I878" s="19"/>
    </row>
    <row r="879" spans="1:9" x14ac:dyDescent="0.3">
      <c r="A879" s="17" t="s">
        <v>37</v>
      </c>
      <c r="B879" s="10" t="s">
        <v>24</v>
      </c>
      <c r="C879" s="11" t="s">
        <v>14</v>
      </c>
      <c r="D879" s="10" t="s">
        <v>22</v>
      </c>
      <c r="E879" s="12">
        <v>41816</v>
      </c>
      <c r="F879" s="31">
        <v>79.989999999999995</v>
      </c>
      <c r="G879" s="13">
        <v>11</v>
      </c>
      <c r="H879" s="31">
        <f t="shared" si="15"/>
        <v>879.89</v>
      </c>
      <c r="I879" s="19"/>
    </row>
    <row r="880" spans="1:9" x14ac:dyDescent="0.3">
      <c r="A880" s="9" t="s">
        <v>36</v>
      </c>
      <c r="B880" s="10" t="s">
        <v>25</v>
      </c>
      <c r="C880" s="11" t="s">
        <v>15</v>
      </c>
      <c r="D880" s="10" t="s">
        <v>20</v>
      </c>
      <c r="E880" s="12">
        <v>41955</v>
      </c>
      <c r="F880" s="31">
        <v>340.95</v>
      </c>
      <c r="G880" s="13">
        <v>4</v>
      </c>
      <c r="H880" s="31">
        <f t="shared" si="15"/>
        <v>1363.8</v>
      </c>
      <c r="I880" s="19"/>
    </row>
    <row r="881" spans="1:9" x14ac:dyDescent="0.3">
      <c r="A881" s="17" t="s">
        <v>41</v>
      </c>
      <c r="B881" s="10" t="s">
        <v>27</v>
      </c>
      <c r="C881" s="11" t="s">
        <v>17</v>
      </c>
      <c r="D881" s="10" t="s">
        <v>18</v>
      </c>
      <c r="E881" s="12">
        <v>42151</v>
      </c>
      <c r="F881" s="31">
        <v>799.95</v>
      </c>
      <c r="G881" s="13">
        <v>20</v>
      </c>
      <c r="H881" s="31">
        <f t="shared" si="15"/>
        <v>15999</v>
      </c>
      <c r="I881" s="19"/>
    </row>
    <row r="882" spans="1:9" x14ac:dyDescent="0.3">
      <c r="A882" s="17" t="s">
        <v>37</v>
      </c>
      <c r="B882" s="10" t="s">
        <v>27</v>
      </c>
      <c r="C882" s="11" t="s">
        <v>14</v>
      </c>
      <c r="D882" s="10" t="s">
        <v>21</v>
      </c>
      <c r="E882" s="12">
        <v>42252</v>
      </c>
      <c r="F882" s="31">
        <v>799.95</v>
      </c>
      <c r="G882" s="13">
        <v>13</v>
      </c>
      <c r="H882" s="31">
        <f t="shared" si="15"/>
        <v>10399.35</v>
      </c>
      <c r="I882" s="19"/>
    </row>
    <row r="883" spans="1:9" x14ac:dyDescent="0.3">
      <c r="A883" s="9" t="s">
        <v>36</v>
      </c>
      <c r="B883" s="10" t="s">
        <v>23</v>
      </c>
      <c r="C883" s="11" t="s">
        <v>15</v>
      </c>
      <c r="D883" s="10" t="s">
        <v>22</v>
      </c>
      <c r="E883" s="12">
        <v>42064</v>
      </c>
      <c r="F883" s="31">
        <v>340.95</v>
      </c>
      <c r="G883" s="13">
        <v>11</v>
      </c>
      <c r="H883" s="31">
        <f t="shared" si="15"/>
        <v>3750.45</v>
      </c>
      <c r="I883" s="19"/>
    </row>
    <row r="884" spans="1:9" x14ac:dyDescent="0.3">
      <c r="A884" s="17" t="s">
        <v>37</v>
      </c>
      <c r="B884" s="10" t="s">
        <v>27</v>
      </c>
      <c r="C884" s="11" t="s">
        <v>14</v>
      </c>
      <c r="D884" s="10" t="s">
        <v>22</v>
      </c>
      <c r="E884" s="12">
        <v>41858</v>
      </c>
      <c r="F884" s="31">
        <v>799.95</v>
      </c>
      <c r="G884" s="13">
        <v>5</v>
      </c>
      <c r="H884" s="31">
        <f t="shared" si="15"/>
        <v>3999.75</v>
      </c>
      <c r="I884" s="19"/>
    </row>
    <row r="885" spans="1:9" x14ac:dyDescent="0.3">
      <c r="A885" s="17" t="s">
        <v>37</v>
      </c>
      <c r="B885" s="10" t="s">
        <v>24</v>
      </c>
      <c r="C885" s="11" t="s">
        <v>14</v>
      </c>
      <c r="D885" s="10" t="s">
        <v>19</v>
      </c>
      <c r="E885" s="12">
        <v>41797</v>
      </c>
      <c r="F885" s="31">
        <v>79.989999999999995</v>
      </c>
      <c r="G885" s="13">
        <v>6</v>
      </c>
      <c r="H885" s="31">
        <f t="shared" si="15"/>
        <v>479.93999999999994</v>
      </c>
      <c r="I885" s="19"/>
    </row>
    <row r="886" spans="1:9" x14ac:dyDescent="0.3">
      <c r="A886" s="9" t="s">
        <v>36</v>
      </c>
      <c r="B886" s="10" t="s">
        <v>25</v>
      </c>
      <c r="C886" s="11" t="s">
        <v>15</v>
      </c>
      <c r="D886" s="10" t="s">
        <v>20</v>
      </c>
      <c r="E886" s="12">
        <v>42150</v>
      </c>
      <c r="F886" s="31">
        <v>340.95</v>
      </c>
      <c r="G886" s="13">
        <v>10</v>
      </c>
      <c r="H886" s="31">
        <f t="shared" si="15"/>
        <v>3409.5</v>
      </c>
      <c r="I886" s="19"/>
    </row>
    <row r="887" spans="1:9" x14ac:dyDescent="0.3">
      <c r="A887" s="9" t="s">
        <v>42</v>
      </c>
      <c r="B887" s="10" t="s">
        <v>27</v>
      </c>
      <c r="C887" s="11" t="s">
        <v>15</v>
      </c>
      <c r="D887" s="10" t="s">
        <v>19</v>
      </c>
      <c r="E887" s="12">
        <v>41691</v>
      </c>
      <c r="F887" s="31">
        <v>799.95</v>
      </c>
      <c r="G887" s="13">
        <v>14</v>
      </c>
      <c r="H887" s="31">
        <f t="shared" si="15"/>
        <v>11199.300000000001</v>
      </c>
      <c r="I887" s="19"/>
    </row>
    <row r="888" spans="1:9" x14ac:dyDescent="0.3">
      <c r="A888" s="17" t="s">
        <v>37</v>
      </c>
      <c r="B888" s="10" t="s">
        <v>25</v>
      </c>
      <c r="C888" s="11" t="s">
        <v>14</v>
      </c>
      <c r="D888" s="10" t="s">
        <v>19</v>
      </c>
      <c r="E888" s="12">
        <v>42137</v>
      </c>
      <c r="F888" s="31">
        <v>340.95</v>
      </c>
      <c r="G888" s="13">
        <v>12</v>
      </c>
      <c r="H888" s="31">
        <f t="shared" si="15"/>
        <v>4091.3999999999996</v>
      </c>
      <c r="I888" s="19"/>
    </row>
    <row r="889" spans="1:9" x14ac:dyDescent="0.3">
      <c r="A889" s="9" t="s">
        <v>36</v>
      </c>
      <c r="B889" s="10" t="s">
        <v>25</v>
      </c>
      <c r="C889" s="11" t="s">
        <v>15</v>
      </c>
      <c r="D889" s="10" t="s">
        <v>20</v>
      </c>
      <c r="E889" s="12">
        <v>42253</v>
      </c>
      <c r="F889" s="31">
        <v>340.95</v>
      </c>
      <c r="G889" s="13">
        <v>7</v>
      </c>
      <c r="H889" s="31">
        <f t="shared" si="15"/>
        <v>2386.65</v>
      </c>
      <c r="I889" s="19"/>
    </row>
    <row r="890" spans="1:9" x14ac:dyDescent="0.3">
      <c r="A890" s="17" t="s">
        <v>44</v>
      </c>
      <c r="B890" s="10" t="s">
        <v>25</v>
      </c>
      <c r="C890" s="11" t="s">
        <v>14</v>
      </c>
      <c r="D890" s="10" t="s">
        <v>18</v>
      </c>
      <c r="E890" s="12">
        <v>41776</v>
      </c>
      <c r="F890" s="31">
        <v>340.95</v>
      </c>
      <c r="G890" s="13">
        <v>6</v>
      </c>
      <c r="H890" s="31">
        <f t="shared" si="15"/>
        <v>2045.6999999999998</v>
      </c>
      <c r="I890" s="19"/>
    </row>
    <row r="891" spans="1:9" x14ac:dyDescent="0.3">
      <c r="A891" s="17" t="s">
        <v>37</v>
      </c>
      <c r="B891" s="10" t="s">
        <v>27</v>
      </c>
      <c r="C891" s="11" t="s">
        <v>14</v>
      </c>
      <c r="D891" s="10" t="s">
        <v>20</v>
      </c>
      <c r="E891" s="12">
        <v>42180</v>
      </c>
      <c r="F891" s="31">
        <v>799.95</v>
      </c>
      <c r="G891" s="13">
        <v>8</v>
      </c>
      <c r="H891" s="31">
        <f t="shared" si="15"/>
        <v>6399.6</v>
      </c>
      <c r="I891" s="19"/>
    </row>
    <row r="892" spans="1:9" x14ac:dyDescent="0.3">
      <c r="A892" s="9" t="s">
        <v>46</v>
      </c>
      <c r="B892" s="10" t="s">
        <v>25</v>
      </c>
      <c r="C892" s="11" t="s">
        <v>16</v>
      </c>
      <c r="D892" s="10" t="s">
        <v>22</v>
      </c>
      <c r="E892" s="12">
        <v>42220</v>
      </c>
      <c r="F892" s="31">
        <v>340.95</v>
      </c>
      <c r="G892" s="13">
        <v>8</v>
      </c>
      <c r="H892" s="31">
        <f t="shared" si="15"/>
        <v>2727.6</v>
      </c>
      <c r="I892" s="19"/>
    </row>
    <row r="893" spans="1:9" x14ac:dyDescent="0.3">
      <c r="A893" s="17" t="s">
        <v>45</v>
      </c>
      <c r="B893" s="10" t="s">
        <v>24</v>
      </c>
      <c r="C893" s="11" t="s">
        <v>15</v>
      </c>
      <c r="D893" s="10" t="s">
        <v>18</v>
      </c>
      <c r="E893" s="12">
        <v>42116</v>
      </c>
      <c r="F893" s="31">
        <v>79.989999999999995</v>
      </c>
      <c r="G893" s="13">
        <v>7</v>
      </c>
      <c r="H893" s="31">
        <f t="shared" si="15"/>
        <v>559.92999999999995</v>
      </c>
      <c r="I893" s="19"/>
    </row>
    <row r="894" spans="1:9" x14ac:dyDescent="0.3">
      <c r="A894" s="17" t="s">
        <v>39</v>
      </c>
      <c r="B894" s="10" t="s">
        <v>24</v>
      </c>
      <c r="C894" s="11" t="s">
        <v>14</v>
      </c>
      <c r="D894" s="10" t="s">
        <v>18</v>
      </c>
      <c r="E894" s="12">
        <v>41662</v>
      </c>
      <c r="F894" s="31">
        <v>79.989999999999995</v>
      </c>
      <c r="G894" s="13">
        <v>20</v>
      </c>
      <c r="H894" s="31">
        <f t="shared" si="15"/>
        <v>1599.8</v>
      </c>
      <c r="I894" s="19"/>
    </row>
    <row r="895" spans="1:9" x14ac:dyDescent="0.3">
      <c r="A895" s="17" t="s">
        <v>45</v>
      </c>
      <c r="B895" s="10" t="s">
        <v>24</v>
      </c>
      <c r="C895" s="11" t="s">
        <v>15</v>
      </c>
      <c r="D895" s="10" t="s">
        <v>18</v>
      </c>
      <c r="E895" s="12">
        <v>41982</v>
      </c>
      <c r="F895" s="31">
        <v>79.989999999999995</v>
      </c>
      <c r="G895" s="13">
        <v>13</v>
      </c>
      <c r="H895" s="31">
        <f t="shared" si="15"/>
        <v>1039.8699999999999</v>
      </c>
      <c r="I895" s="19"/>
    </row>
    <row r="896" spans="1:9" x14ac:dyDescent="0.3">
      <c r="A896" s="9" t="s">
        <v>46</v>
      </c>
      <c r="B896" s="10" t="s">
        <v>23</v>
      </c>
      <c r="C896" s="11" t="s">
        <v>16</v>
      </c>
      <c r="D896" s="10" t="s">
        <v>19</v>
      </c>
      <c r="E896" s="12">
        <v>42090</v>
      </c>
      <c r="F896" s="31">
        <v>340.95</v>
      </c>
      <c r="G896" s="13">
        <v>4</v>
      </c>
      <c r="H896" s="31">
        <f t="shared" si="15"/>
        <v>1363.8</v>
      </c>
      <c r="I896" s="19"/>
    </row>
    <row r="897" spans="1:9" x14ac:dyDescent="0.3">
      <c r="A897" s="9" t="s">
        <v>36</v>
      </c>
      <c r="B897" s="10" t="s">
        <v>27</v>
      </c>
      <c r="C897" s="11" t="s">
        <v>15</v>
      </c>
      <c r="D897" s="10" t="s">
        <v>19</v>
      </c>
      <c r="E897" s="12">
        <v>42334</v>
      </c>
      <c r="F897" s="31">
        <v>799.95</v>
      </c>
      <c r="G897" s="13">
        <v>6</v>
      </c>
      <c r="H897" s="31">
        <f t="shared" si="15"/>
        <v>4799.7000000000007</v>
      </c>
      <c r="I897" s="19"/>
    </row>
    <row r="898" spans="1:9" x14ac:dyDescent="0.3">
      <c r="A898" s="9" t="s">
        <v>46</v>
      </c>
      <c r="B898" s="10" t="s">
        <v>23</v>
      </c>
      <c r="C898" s="11" t="s">
        <v>16</v>
      </c>
      <c r="D898" s="10" t="s">
        <v>20</v>
      </c>
      <c r="E898" s="12">
        <v>41738</v>
      </c>
      <c r="F898" s="31">
        <v>340.95</v>
      </c>
      <c r="G898" s="13">
        <v>6</v>
      </c>
      <c r="H898" s="31">
        <f t="shared" ref="H898:H910" si="16">F898*G898</f>
        <v>2045.6999999999998</v>
      </c>
      <c r="I898" s="19"/>
    </row>
    <row r="899" spans="1:9" x14ac:dyDescent="0.3">
      <c r="A899" s="17" t="s">
        <v>44</v>
      </c>
      <c r="B899" s="10" t="s">
        <v>27</v>
      </c>
      <c r="C899" s="11" t="s">
        <v>14</v>
      </c>
      <c r="D899" s="10" t="s">
        <v>19</v>
      </c>
      <c r="E899" s="12">
        <v>41686</v>
      </c>
      <c r="F899" s="31">
        <v>799.95</v>
      </c>
      <c r="G899" s="13">
        <v>1</v>
      </c>
      <c r="H899" s="31">
        <f t="shared" si="16"/>
        <v>799.95</v>
      </c>
      <c r="I899" s="19"/>
    </row>
    <row r="900" spans="1:9" x14ac:dyDescent="0.3">
      <c r="A900" s="17" t="s">
        <v>41</v>
      </c>
      <c r="B900" s="10" t="s">
        <v>23</v>
      </c>
      <c r="C900" s="11" t="s">
        <v>17</v>
      </c>
      <c r="D900" s="10" t="s">
        <v>19</v>
      </c>
      <c r="E900" s="12">
        <v>42022</v>
      </c>
      <c r="F900" s="31">
        <v>340.95</v>
      </c>
      <c r="G900" s="13">
        <v>10</v>
      </c>
      <c r="H900" s="31">
        <f t="shared" si="16"/>
        <v>3409.5</v>
      </c>
      <c r="I900" s="19"/>
    </row>
    <row r="901" spans="1:9" x14ac:dyDescent="0.3">
      <c r="A901" s="17" t="s">
        <v>44</v>
      </c>
      <c r="B901" s="10" t="s">
        <v>27</v>
      </c>
      <c r="C901" s="11" t="s">
        <v>14</v>
      </c>
      <c r="D901" s="10" t="s">
        <v>22</v>
      </c>
      <c r="E901" s="12">
        <v>42332</v>
      </c>
      <c r="F901" s="31">
        <v>799.95</v>
      </c>
      <c r="G901" s="13">
        <v>1</v>
      </c>
      <c r="H901" s="31">
        <f t="shared" si="16"/>
        <v>799.95</v>
      </c>
      <c r="I901" s="19"/>
    </row>
    <row r="902" spans="1:9" x14ac:dyDescent="0.3">
      <c r="A902" s="17" t="s">
        <v>41</v>
      </c>
      <c r="B902" s="10" t="s">
        <v>23</v>
      </c>
      <c r="C902" s="11" t="s">
        <v>17</v>
      </c>
      <c r="D902" s="10" t="s">
        <v>22</v>
      </c>
      <c r="E902" s="12">
        <v>41645</v>
      </c>
      <c r="F902" s="31">
        <v>340.95</v>
      </c>
      <c r="G902" s="13">
        <v>2</v>
      </c>
      <c r="H902" s="31">
        <f t="shared" si="16"/>
        <v>681.9</v>
      </c>
      <c r="I902" s="19"/>
    </row>
    <row r="903" spans="1:9" x14ac:dyDescent="0.3">
      <c r="A903" s="17" t="s">
        <v>39</v>
      </c>
      <c r="B903" s="10" t="s">
        <v>27</v>
      </c>
      <c r="C903" s="11" t="s">
        <v>14</v>
      </c>
      <c r="D903" s="10" t="s">
        <v>22</v>
      </c>
      <c r="E903" s="12">
        <v>42151</v>
      </c>
      <c r="F903" s="31">
        <v>799.95</v>
      </c>
      <c r="G903" s="13">
        <v>2</v>
      </c>
      <c r="H903" s="31">
        <f t="shared" si="16"/>
        <v>1599.9</v>
      </c>
      <c r="I903" s="19"/>
    </row>
    <row r="904" spans="1:9" x14ac:dyDescent="0.3">
      <c r="A904" s="9" t="s">
        <v>0</v>
      </c>
      <c r="B904" s="10" t="s">
        <v>27</v>
      </c>
      <c r="C904" s="11" t="s">
        <v>14</v>
      </c>
      <c r="D904" s="10" t="s">
        <v>22</v>
      </c>
      <c r="E904" s="12">
        <v>42112</v>
      </c>
      <c r="F904" s="31">
        <v>799.95</v>
      </c>
      <c r="G904" s="13">
        <v>13</v>
      </c>
      <c r="H904" s="31">
        <f t="shared" si="16"/>
        <v>10399.35</v>
      </c>
      <c r="I904" s="19"/>
    </row>
    <row r="905" spans="1:9" x14ac:dyDescent="0.3">
      <c r="A905" s="17" t="s">
        <v>41</v>
      </c>
      <c r="B905" s="10" t="s">
        <v>23</v>
      </c>
      <c r="C905" s="11" t="s">
        <v>17</v>
      </c>
      <c r="D905" s="10" t="s">
        <v>22</v>
      </c>
      <c r="E905" s="12">
        <v>41650</v>
      </c>
      <c r="F905" s="31">
        <v>340.95</v>
      </c>
      <c r="G905" s="13">
        <v>6</v>
      </c>
      <c r="H905" s="31">
        <f t="shared" si="16"/>
        <v>2045.6999999999998</v>
      </c>
      <c r="I905" s="19"/>
    </row>
    <row r="906" spans="1:9" x14ac:dyDescent="0.3">
      <c r="A906" s="17" t="s">
        <v>45</v>
      </c>
      <c r="B906" s="10" t="s">
        <v>27</v>
      </c>
      <c r="C906" s="11" t="s">
        <v>15</v>
      </c>
      <c r="D906" s="10" t="s">
        <v>19</v>
      </c>
      <c r="E906" s="12">
        <v>41802</v>
      </c>
      <c r="F906" s="31">
        <v>799.95</v>
      </c>
      <c r="G906" s="13">
        <v>3</v>
      </c>
      <c r="H906" s="31">
        <f t="shared" si="16"/>
        <v>2399.8500000000004</v>
      </c>
      <c r="I906" s="19"/>
    </row>
    <row r="907" spans="1:9" x14ac:dyDescent="0.3">
      <c r="A907" s="9" t="s">
        <v>40</v>
      </c>
      <c r="B907" s="10" t="s">
        <v>24</v>
      </c>
      <c r="C907" s="11" t="s">
        <v>17</v>
      </c>
      <c r="D907" s="10" t="s">
        <v>20</v>
      </c>
      <c r="E907" s="12">
        <v>42172</v>
      </c>
      <c r="F907" s="31">
        <v>79.989999999999995</v>
      </c>
      <c r="G907" s="13">
        <v>11</v>
      </c>
      <c r="H907" s="31">
        <f t="shared" si="16"/>
        <v>879.89</v>
      </c>
      <c r="I907" s="19"/>
    </row>
    <row r="908" spans="1:9" x14ac:dyDescent="0.3">
      <c r="A908" s="17" t="s">
        <v>37</v>
      </c>
      <c r="B908" s="10" t="s">
        <v>27</v>
      </c>
      <c r="C908" s="11" t="s">
        <v>14</v>
      </c>
      <c r="D908" s="10" t="s">
        <v>18</v>
      </c>
      <c r="E908" s="12">
        <v>41689</v>
      </c>
      <c r="F908" s="31">
        <v>799.95</v>
      </c>
      <c r="G908" s="13">
        <v>14</v>
      </c>
      <c r="H908" s="31">
        <f t="shared" si="16"/>
        <v>11199.300000000001</v>
      </c>
      <c r="I908" s="19"/>
    </row>
    <row r="909" spans="1:9" x14ac:dyDescent="0.3">
      <c r="A909" s="9" t="s">
        <v>46</v>
      </c>
      <c r="B909" s="10" t="s">
        <v>23</v>
      </c>
      <c r="C909" s="11" t="s">
        <v>16</v>
      </c>
      <c r="D909" s="10" t="s">
        <v>22</v>
      </c>
      <c r="E909" s="12">
        <v>42185</v>
      </c>
      <c r="F909" s="31">
        <v>340.95</v>
      </c>
      <c r="G909" s="13">
        <v>15</v>
      </c>
      <c r="H909" s="31">
        <f t="shared" si="16"/>
        <v>5114.25</v>
      </c>
      <c r="I909" s="19"/>
    </row>
    <row r="910" spans="1:9" x14ac:dyDescent="0.3">
      <c r="A910" s="22" t="s">
        <v>38</v>
      </c>
      <c r="B910" s="23" t="s">
        <v>27</v>
      </c>
      <c r="C910" s="24" t="s">
        <v>15</v>
      </c>
      <c r="D910" s="23" t="s">
        <v>19</v>
      </c>
      <c r="E910" s="25">
        <v>41867</v>
      </c>
      <c r="F910" s="32">
        <v>799.95</v>
      </c>
      <c r="G910" s="26">
        <v>9</v>
      </c>
      <c r="H910" s="32">
        <f t="shared" si="16"/>
        <v>7199.55</v>
      </c>
      <c r="I910" s="19"/>
    </row>
    <row r="911" spans="1:9" x14ac:dyDescent="0.3">
      <c r="G911" s="7"/>
      <c r="I911" s="19"/>
    </row>
    <row r="912" spans="1:9" x14ac:dyDescent="0.3">
      <c r="I912" s="19"/>
    </row>
    <row r="913" spans="9:9" x14ac:dyDescent="0.3">
      <c r="I913" s="19"/>
    </row>
  </sheetData>
  <pageMargins left="0.7" right="0.7" top="0.75" bottom="0.75" header="0.3" footer="0.3"/>
  <pageSetup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167D9-D2B1-4945-96F7-B81F5EE7D960}">
  <sheetPr>
    <tabColor theme="7"/>
  </sheetPr>
  <dimension ref="A4:H456"/>
  <sheetViews>
    <sheetView rightToLeft="1" workbookViewId="0">
      <selection activeCell="A11" sqref="A11"/>
    </sheetView>
  </sheetViews>
  <sheetFormatPr defaultRowHeight="14.4" x14ac:dyDescent="0.3"/>
  <cols>
    <col min="1" max="1" width="17.44140625" bestFit="1" customWidth="1"/>
    <col min="2" max="3" width="9.6640625" bestFit="1" customWidth="1"/>
    <col min="4" max="4" width="11.88671875" bestFit="1" customWidth="1"/>
    <col min="5" max="6" width="9.21875" bestFit="1" customWidth="1"/>
    <col min="7" max="7" width="11.88671875" bestFit="1" customWidth="1"/>
    <col min="8" max="9" width="10.77734375" bestFit="1" customWidth="1"/>
  </cols>
  <sheetData>
    <row r="4" spans="1:8" x14ac:dyDescent="0.3">
      <c r="A4" s="29" t="s">
        <v>48</v>
      </c>
      <c r="B4" s="29" t="s">
        <v>54</v>
      </c>
      <c r="C4" s="29" t="s">
        <v>30</v>
      </c>
    </row>
    <row r="5" spans="1:8" x14ac:dyDescent="0.3">
      <c r="B5" t="s">
        <v>52</v>
      </c>
      <c r="C5" t="s">
        <v>52</v>
      </c>
      <c r="D5" t="s">
        <v>53</v>
      </c>
      <c r="E5" t="s">
        <v>55</v>
      </c>
      <c r="F5" t="s">
        <v>55</v>
      </c>
      <c r="G5" t="s">
        <v>56</v>
      </c>
      <c r="H5" t="s">
        <v>1</v>
      </c>
    </row>
    <row r="6" spans="1:8" x14ac:dyDescent="0.3">
      <c r="A6" s="29" t="s">
        <v>49</v>
      </c>
      <c r="B6" t="s">
        <v>15</v>
      </c>
      <c r="C6" t="s">
        <v>16</v>
      </c>
      <c r="E6" t="s">
        <v>17</v>
      </c>
      <c r="F6" t="s">
        <v>14</v>
      </c>
    </row>
    <row r="7" spans="1:8" x14ac:dyDescent="0.3">
      <c r="A7" s="38">
        <v>43836</v>
      </c>
      <c r="B7" s="36">
        <v>9</v>
      </c>
      <c r="C7" s="36"/>
      <c r="D7" s="36">
        <v>9</v>
      </c>
      <c r="E7" s="36">
        <v>2</v>
      </c>
      <c r="F7" s="36"/>
      <c r="G7" s="36">
        <v>2</v>
      </c>
      <c r="H7" s="36">
        <v>11</v>
      </c>
    </row>
    <row r="8" spans="1:8" x14ac:dyDescent="0.3">
      <c r="A8" s="38">
        <v>43837</v>
      </c>
      <c r="B8" s="36"/>
      <c r="C8" s="36">
        <v>7</v>
      </c>
      <c r="D8" s="36">
        <v>7</v>
      </c>
      <c r="E8" s="36"/>
      <c r="F8" s="36"/>
      <c r="G8" s="36"/>
      <c r="H8" s="36">
        <v>7</v>
      </c>
    </row>
    <row r="9" spans="1:8" x14ac:dyDescent="0.3">
      <c r="A9" s="38">
        <v>43838</v>
      </c>
      <c r="B9" s="36"/>
      <c r="C9" s="36"/>
      <c r="D9" s="36"/>
      <c r="E9" s="36">
        <v>15</v>
      </c>
      <c r="F9" s="36"/>
      <c r="G9" s="36">
        <v>15</v>
      </c>
      <c r="H9" s="36">
        <v>15</v>
      </c>
    </row>
    <row r="10" spans="1:8" x14ac:dyDescent="0.3">
      <c r="A10" s="38">
        <v>43840</v>
      </c>
      <c r="B10" s="36"/>
      <c r="C10" s="36"/>
      <c r="D10" s="36"/>
      <c r="E10" s="36"/>
      <c r="F10" s="36">
        <v>13</v>
      </c>
      <c r="G10" s="36">
        <v>13</v>
      </c>
      <c r="H10" s="36">
        <v>13</v>
      </c>
    </row>
    <row r="11" spans="1:8" x14ac:dyDescent="0.3">
      <c r="A11" s="38">
        <v>43841</v>
      </c>
      <c r="B11" s="36">
        <v>10</v>
      </c>
      <c r="C11" s="36"/>
      <c r="D11" s="36">
        <v>10</v>
      </c>
      <c r="E11" s="36">
        <v>8</v>
      </c>
      <c r="F11" s="36"/>
      <c r="G11" s="36">
        <v>8</v>
      </c>
      <c r="H11" s="36">
        <v>18</v>
      </c>
    </row>
    <row r="12" spans="1:8" x14ac:dyDescent="0.3">
      <c r="A12" s="38">
        <v>43844</v>
      </c>
      <c r="B12" s="36">
        <v>4</v>
      </c>
      <c r="C12" s="36"/>
      <c r="D12" s="36">
        <v>4</v>
      </c>
      <c r="E12" s="36">
        <v>23</v>
      </c>
      <c r="F12" s="36"/>
      <c r="G12" s="36">
        <v>23</v>
      </c>
      <c r="H12" s="36">
        <v>27</v>
      </c>
    </row>
    <row r="13" spans="1:8" x14ac:dyDescent="0.3">
      <c r="A13" s="38">
        <v>43845</v>
      </c>
      <c r="B13" s="36"/>
      <c r="C13" s="36">
        <v>7</v>
      </c>
      <c r="D13" s="36">
        <v>7</v>
      </c>
      <c r="E13" s="36">
        <v>11</v>
      </c>
      <c r="F13" s="36"/>
      <c r="G13" s="36">
        <v>11</v>
      </c>
      <c r="H13" s="36">
        <v>18</v>
      </c>
    </row>
    <row r="14" spans="1:8" x14ac:dyDescent="0.3">
      <c r="A14" s="38">
        <v>43846</v>
      </c>
      <c r="B14" s="36">
        <v>6</v>
      </c>
      <c r="C14" s="36"/>
      <c r="D14" s="36">
        <v>6</v>
      </c>
      <c r="E14" s="36">
        <v>11</v>
      </c>
      <c r="F14" s="36"/>
      <c r="G14" s="36">
        <v>11</v>
      </c>
      <c r="H14" s="36">
        <v>17</v>
      </c>
    </row>
    <row r="15" spans="1:8" x14ac:dyDescent="0.3">
      <c r="A15" s="38">
        <v>43847</v>
      </c>
      <c r="B15" s="36"/>
      <c r="C15" s="36"/>
      <c r="D15" s="36"/>
      <c r="E15" s="36"/>
      <c r="F15" s="36">
        <v>24</v>
      </c>
      <c r="G15" s="36">
        <v>24</v>
      </c>
      <c r="H15" s="36">
        <v>24</v>
      </c>
    </row>
    <row r="16" spans="1:8" x14ac:dyDescent="0.3">
      <c r="A16" s="38">
        <v>43852</v>
      </c>
      <c r="B16" s="36">
        <v>4</v>
      </c>
      <c r="C16" s="36"/>
      <c r="D16" s="36">
        <v>4</v>
      </c>
      <c r="E16" s="36"/>
      <c r="F16" s="36"/>
      <c r="G16" s="36"/>
      <c r="H16" s="36">
        <v>4</v>
      </c>
    </row>
    <row r="17" spans="1:8" x14ac:dyDescent="0.3">
      <c r="A17" s="38">
        <v>43853</v>
      </c>
      <c r="B17" s="36"/>
      <c r="C17" s="36"/>
      <c r="D17" s="36"/>
      <c r="E17" s="36"/>
      <c r="F17" s="36">
        <v>20</v>
      </c>
      <c r="G17" s="36">
        <v>20</v>
      </c>
      <c r="H17" s="36">
        <v>20</v>
      </c>
    </row>
    <row r="18" spans="1:8" x14ac:dyDescent="0.3">
      <c r="A18" s="38">
        <v>43854</v>
      </c>
      <c r="B18" s="36"/>
      <c r="C18" s="36"/>
      <c r="D18" s="36"/>
      <c r="E18" s="36"/>
      <c r="F18" s="36">
        <v>8</v>
      </c>
      <c r="G18" s="36">
        <v>8</v>
      </c>
      <c r="H18" s="36">
        <v>8</v>
      </c>
    </row>
    <row r="19" spans="1:8" x14ac:dyDescent="0.3">
      <c r="A19" s="38">
        <v>43856</v>
      </c>
      <c r="B19" s="36">
        <v>11</v>
      </c>
      <c r="C19" s="36"/>
      <c r="D19" s="36">
        <v>11</v>
      </c>
      <c r="E19" s="36"/>
      <c r="F19" s="36"/>
      <c r="G19" s="36"/>
      <c r="H19" s="36">
        <v>11</v>
      </c>
    </row>
    <row r="20" spans="1:8" x14ac:dyDescent="0.3">
      <c r="A20" s="38">
        <v>43858</v>
      </c>
      <c r="B20" s="36"/>
      <c r="C20" s="36">
        <v>20</v>
      </c>
      <c r="D20" s="36">
        <v>20</v>
      </c>
      <c r="E20" s="36"/>
      <c r="F20" s="36"/>
      <c r="G20" s="36"/>
      <c r="H20" s="36">
        <v>20</v>
      </c>
    </row>
    <row r="21" spans="1:8" x14ac:dyDescent="0.3">
      <c r="A21" s="38">
        <v>43859</v>
      </c>
      <c r="B21" s="36">
        <v>8</v>
      </c>
      <c r="C21" s="36"/>
      <c r="D21" s="36">
        <v>8</v>
      </c>
      <c r="E21" s="36"/>
      <c r="F21" s="36"/>
      <c r="G21" s="36"/>
      <c r="H21" s="36">
        <v>8</v>
      </c>
    </row>
    <row r="22" spans="1:8" x14ac:dyDescent="0.3">
      <c r="A22" s="38">
        <v>43860</v>
      </c>
      <c r="B22" s="36">
        <v>17</v>
      </c>
      <c r="C22" s="36"/>
      <c r="D22" s="36">
        <v>17</v>
      </c>
      <c r="E22" s="36"/>
      <c r="F22" s="36"/>
      <c r="G22" s="36"/>
      <c r="H22" s="36">
        <v>17</v>
      </c>
    </row>
    <row r="23" spans="1:8" x14ac:dyDescent="0.3">
      <c r="A23" s="38">
        <v>43861</v>
      </c>
      <c r="B23" s="36"/>
      <c r="C23" s="36">
        <v>8</v>
      </c>
      <c r="D23" s="36">
        <v>8</v>
      </c>
      <c r="E23" s="36"/>
      <c r="F23" s="36">
        <v>4</v>
      </c>
      <c r="G23" s="36">
        <v>4</v>
      </c>
      <c r="H23" s="36">
        <v>12</v>
      </c>
    </row>
    <row r="24" spans="1:8" x14ac:dyDescent="0.3">
      <c r="A24" s="38">
        <v>43862</v>
      </c>
      <c r="B24" s="36">
        <v>6</v>
      </c>
      <c r="C24" s="36">
        <v>5</v>
      </c>
      <c r="D24" s="36">
        <v>11</v>
      </c>
      <c r="E24" s="36"/>
      <c r="F24" s="36">
        <v>7</v>
      </c>
      <c r="G24" s="36">
        <v>7</v>
      </c>
      <c r="H24" s="36">
        <v>18</v>
      </c>
    </row>
    <row r="25" spans="1:8" x14ac:dyDescent="0.3">
      <c r="A25" s="38">
        <v>43863</v>
      </c>
      <c r="B25" s="36"/>
      <c r="C25" s="36">
        <v>5</v>
      </c>
      <c r="D25" s="36">
        <v>5</v>
      </c>
      <c r="E25" s="36"/>
      <c r="F25" s="36"/>
      <c r="G25" s="36"/>
      <c r="H25" s="36">
        <v>5</v>
      </c>
    </row>
    <row r="26" spans="1:8" x14ac:dyDescent="0.3">
      <c r="A26" s="38">
        <v>43866</v>
      </c>
      <c r="B26" s="36"/>
      <c r="C26" s="36"/>
      <c r="D26" s="36"/>
      <c r="E26" s="36">
        <v>10</v>
      </c>
      <c r="F26" s="36"/>
      <c r="G26" s="36">
        <v>10</v>
      </c>
      <c r="H26" s="36">
        <v>10</v>
      </c>
    </row>
    <row r="27" spans="1:8" x14ac:dyDescent="0.3">
      <c r="A27" s="38">
        <v>43867</v>
      </c>
      <c r="B27" s="36">
        <v>53</v>
      </c>
      <c r="C27" s="36"/>
      <c r="D27" s="36">
        <v>53</v>
      </c>
      <c r="E27" s="36"/>
      <c r="F27" s="36">
        <v>18</v>
      </c>
      <c r="G27" s="36">
        <v>18</v>
      </c>
      <c r="H27" s="36">
        <v>71</v>
      </c>
    </row>
    <row r="28" spans="1:8" x14ac:dyDescent="0.3">
      <c r="A28" s="38">
        <v>43869</v>
      </c>
      <c r="B28" s="36"/>
      <c r="C28" s="36"/>
      <c r="D28" s="36"/>
      <c r="E28" s="36">
        <v>23</v>
      </c>
      <c r="F28" s="36"/>
      <c r="G28" s="36">
        <v>23</v>
      </c>
      <c r="H28" s="36">
        <v>23</v>
      </c>
    </row>
    <row r="29" spans="1:8" x14ac:dyDescent="0.3">
      <c r="A29" s="38">
        <v>43870</v>
      </c>
      <c r="B29" s="36"/>
      <c r="C29" s="36"/>
      <c r="D29" s="36"/>
      <c r="E29" s="36"/>
      <c r="F29" s="36">
        <v>4</v>
      </c>
      <c r="G29" s="36">
        <v>4</v>
      </c>
      <c r="H29" s="36">
        <v>4</v>
      </c>
    </row>
    <row r="30" spans="1:8" x14ac:dyDescent="0.3">
      <c r="A30" s="38">
        <v>43872</v>
      </c>
      <c r="B30" s="36"/>
      <c r="C30" s="36"/>
      <c r="D30" s="36"/>
      <c r="E30" s="36"/>
      <c r="F30" s="36">
        <v>15</v>
      </c>
      <c r="G30" s="36">
        <v>15</v>
      </c>
      <c r="H30" s="36">
        <v>15</v>
      </c>
    </row>
    <row r="31" spans="1:8" x14ac:dyDescent="0.3">
      <c r="A31" s="38">
        <v>43873</v>
      </c>
      <c r="B31" s="36">
        <v>43</v>
      </c>
      <c r="C31" s="36"/>
      <c r="D31" s="36">
        <v>43</v>
      </c>
      <c r="E31" s="36"/>
      <c r="F31" s="36">
        <v>10</v>
      </c>
      <c r="G31" s="36">
        <v>10</v>
      </c>
      <c r="H31" s="36">
        <v>53</v>
      </c>
    </row>
    <row r="32" spans="1:8" x14ac:dyDescent="0.3">
      <c r="A32" s="38">
        <v>43876</v>
      </c>
      <c r="B32" s="36"/>
      <c r="C32" s="36"/>
      <c r="D32" s="36"/>
      <c r="E32" s="36"/>
      <c r="F32" s="36">
        <v>17</v>
      </c>
      <c r="G32" s="36">
        <v>17</v>
      </c>
      <c r="H32" s="36">
        <v>17</v>
      </c>
    </row>
    <row r="33" spans="1:8" x14ac:dyDescent="0.3">
      <c r="A33" s="38">
        <v>43877</v>
      </c>
      <c r="B33" s="36">
        <v>11</v>
      </c>
      <c r="C33" s="36"/>
      <c r="D33" s="36">
        <v>11</v>
      </c>
      <c r="E33" s="36"/>
      <c r="F33" s="36">
        <v>1</v>
      </c>
      <c r="G33" s="36">
        <v>1</v>
      </c>
      <c r="H33" s="36">
        <v>12</v>
      </c>
    </row>
    <row r="34" spans="1:8" x14ac:dyDescent="0.3">
      <c r="A34" s="38">
        <v>43880</v>
      </c>
      <c r="B34" s="36">
        <v>40</v>
      </c>
      <c r="C34" s="36"/>
      <c r="D34" s="36">
        <v>40</v>
      </c>
      <c r="E34" s="36"/>
      <c r="F34" s="36">
        <v>23</v>
      </c>
      <c r="G34" s="36">
        <v>23</v>
      </c>
      <c r="H34" s="36">
        <v>63</v>
      </c>
    </row>
    <row r="35" spans="1:8" x14ac:dyDescent="0.3">
      <c r="A35" s="38">
        <v>43881</v>
      </c>
      <c r="B35" s="36">
        <v>18</v>
      </c>
      <c r="C35" s="36">
        <v>8</v>
      </c>
      <c r="D35" s="36">
        <v>26</v>
      </c>
      <c r="E35" s="36"/>
      <c r="F35" s="36"/>
      <c r="G35" s="36"/>
      <c r="H35" s="36">
        <v>26</v>
      </c>
    </row>
    <row r="36" spans="1:8" x14ac:dyDescent="0.3">
      <c r="A36" s="38">
        <v>43882</v>
      </c>
      <c r="B36" s="36">
        <v>14</v>
      </c>
      <c r="C36" s="36"/>
      <c r="D36" s="36">
        <v>14</v>
      </c>
      <c r="E36" s="36"/>
      <c r="F36" s="36"/>
      <c r="G36" s="36"/>
      <c r="H36" s="36">
        <v>14</v>
      </c>
    </row>
    <row r="37" spans="1:8" x14ac:dyDescent="0.3">
      <c r="A37" s="38">
        <v>43883</v>
      </c>
      <c r="B37" s="36"/>
      <c r="C37" s="36"/>
      <c r="D37" s="36"/>
      <c r="E37" s="36">
        <v>2</v>
      </c>
      <c r="F37" s="36">
        <v>18</v>
      </c>
      <c r="G37" s="36">
        <v>20</v>
      </c>
      <c r="H37" s="36">
        <v>20</v>
      </c>
    </row>
    <row r="38" spans="1:8" x14ac:dyDescent="0.3">
      <c r="A38" s="38">
        <v>43884</v>
      </c>
      <c r="B38" s="36"/>
      <c r="C38" s="36"/>
      <c r="D38" s="36"/>
      <c r="E38" s="36"/>
      <c r="F38" s="36">
        <v>29</v>
      </c>
      <c r="G38" s="36">
        <v>29</v>
      </c>
      <c r="H38" s="36">
        <v>29</v>
      </c>
    </row>
    <row r="39" spans="1:8" x14ac:dyDescent="0.3">
      <c r="A39" s="38">
        <v>43888</v>
      </c>
      <c r="B39" s="36"/>
      <c r="C39" s="36"/>
      <c r="D39" s="36"/>
      <c r="E39" s="36"/>
      <c r="F39" s="36">
        <v>14</v>
      </c>
      <c r="G39" s="36">
        <v>14</v>
      </c>
      <c r="H39" s="36">
        <v>14</v>
      </c>
    </row>
    <row r="40" spans="1:8" x14ac:dyDescent="0.3">
      <c r="A40" s="38">
        <v>43889</v>
      </c>
      <c r="B40" s="36"/>
      <c r="C40" s="36"/>
      <c r="D40" s="36"/>
      <c r="E40" s="36"/>
      <c r="F40" s="36">
        <v>9</v>
      </c>
      <c r="G40" s="36">
        <v>9</v>
      </c>
      <c r="H40" s="36">
        <v>9</v>
      </c>
    </row>
    <row r="41" spans="1:8" x14ac:dyDescent="0.3">
      <c r="A41" s="38">
        <v>43894</v>
      </c>
      <c r="B41" s="36">
        <v>20</v>
      </c>
      <c r="C41" s="36"/>
      <c r="D41" s="36">
        <v>20</v>
      </c>
      <c r="E41" s="36">
        <v>4</v>
      </c>
      <c r="F41" s="36"/>
      <c r="G41" s="36">
        <v>4</v>
      </c>
      <c r="H41" s="36">
        <v>24</v>
      </c>
    </row>
    <row r="42" spans="1:8" x14ac:dyDescent="0.3">
      <c r="A42" s="38">
        <v>43895</v>
      </c>
      <c r="B42" s="36"/>
      <c r="C42" s="36"/>
      <c r="D42" s="36"/>
      <c r="E42" s="36">
        <v>10</v>
      </c>
      <c r="F42" s="36"/>
      <c r="G42" s="36">
        <v>10</v>
      </c>
      <c r="H42" s="36">
        <v>10</v>
      </c>
    </row>
    <row r="43" spans="1:8" x14ac:dyDescent="0.3">
      <c r="A43" s="38">
        <v>43897</v>
      </c>
      <c r="B43" s="36"/>
      <c r="C43" s="36"/>
      <c r="D43" s="36"/>
      <c r="E43" s="36"/>
      <c r="F43" s="36">
        <v>12</v>
      </c>
      <c r="G43" s="36">
        <v>12</v>
      </c>
      <c r="H43" s="36">
        <v>12</v>
      </c>
    </row>
    <row r="44" spans="1:8" x14ac:dyDescent="0.3">
      <c r="A44" s="38">
        <v>43898</v>
      </c>
      <c r="B44" s="36"/>
      <c r="C44" s="36"/>
      <c r="D44" s="36"/>
      <c r="E44" s="36">
        <v>11</v>
      </c>
      <c r="F44" s="36"/>
      <c r="G44" s="36">
        <v>11</v>
      </c>
      <c r="H44" s="36">
        <v>11</v>
      </c>
    </row>
    <row r="45" spans="1:8" x14ac:dyDescent="0.3">
      <c r="A45" s="38">
        <v>43899</v>
      </c>
      <c r="B45" s="36"/>
      <c r="C45" s="36"/>
      <c r="D45" s="36"/>
      <c r="E45" s="36"/>
      <c r="F45" s="36">
        <v>1</v>
      </c>
      <c r="G45" s="36">
        <v>1</v>
      </c>
      <c r="H45" s="36">
        <v>1</v>
      </c>
    </row>
    <row r="46" spans="1:8" x14ac:dyDescent="0.3">
      <c r="A46" s="38">
        <v>43902</v>
      </c>
      <c r="B46" s="36">
        <v>6</v>
      </c>
      <c r="C46" s="36"/>
      <c r="D46" s="36">
        <v>6</v>
      </c>
      <c r="E46" s="36"/>
      <c r="F46" s="36">
        <v>23</v>
      </c>
      <c r="G46" s="36">
        <v>23</v>
      </c>
      <c r="H46" s="36">
        <v>29</v>
      </c>
    </row>
    <row r="47" spans="1:8" x14ac:dyDescent="0.3">
      <c r="A47" s="38">
        <v>43903</v>
      </c>
      <c r="B47" s="36"/>
      <c r="C47" s="36">
        <v>2</v>
      </c>
      <c r="D47" s="36">
        <v>2</v>
      </c>
      <c r="E47" s="36"/>
      <c r="F47" s="36">
        <v>34</v>
      </c>
      <c r="G47" s="36">
        <v>34</v>
      </c>
      <c r="H47" s="36">
        <v>36</v>
      </c>
    </row>
    <row r="48" spans="1:8" x14ac:dyDescent="0.3">
      <c r="A48" s="38">
        <v>43904</v>
      </c>
      <c r="B48" s="36">
        <v>5</v>
      </c>
      <c r="C48" s="36"/>
      <c r="D48" s="36">
        <v>5</v>
      </c>
      <c r="E48" s="36"/>
      <c r="F48" s="36"/>
      <c r="G48" s="36"/>
      <c r="H48" s="36">
        <v>5</v>
      </c>
    </row>
    <row r="49" spans="1:8" x14ac:dyDescent="0.3">
      <c r="A49" s="38">
        <v>43906</v>
      </c>
      <c r="B49" s="36">
        <v>11</v>
      </c>
      <c r="C49" s="36"/>
      <c r="D49" s="36">
        <v>11</v>
      </c>
      <c r="E49" s="36"/>
      <c r="F49" s="36"/>
      <c r="G49" s="36"/>
      <c r="H49" s="36">
        <v>11</v>
      </c>
    </row>
    <row r="50" spans="1:8" x14ac:dyDescent="0.3">
      <c r="A50" s="38">
        <v>43908</v>
      </c>
      <c r="B50" s="36">
        <v>20</v>
      </c>
      <c r="C50" s="36">
        <v>1</v>
      </c>
      <c r="D50" s="36">
        <v>21</v>
      </c>
      <c r="E50" s="36"/>
      <c r="F50" s="36"/>
      <c r="G50" s="36"/>
      <c r="H50" s="36">
        <v>21</v>
      </c>
    </row>
    <row r="51" spans="1:8" x14ac:dyDescent="0.3">
      <c r="A51" s="38">
        <v>43909</v>
      </c>
      <c r="B51" s="36"/>
      <c r="C51" s="36"/>
      <c r="D51" s="36"/>
      <c r="E51" s="36">
        <v>5</v>
      </c>
      <c r="F51" s="36"/>
      <c r="G51" s="36">
        <v>5</v>
      </c>
      <c r="H51" s="36">
        <v>5</v>
      </c>
    </row>
    <row r="52" spans="1:8" x14ac:dyDescent="0.3">
      <c r="A52" s="38">
        <v>43910</v>
      </c>
      <c r="B52" s="36">
        <v>12</v>
      </c>
      <c r="C52" s="36"/>
      <c r="D52" s="36">
        <v>12</v>
      </c>
      <c r="E52" s="36"/>
      <c r="F52" s="36"/>
      <c r="G52" s="36"/>
      <c r="H52" s="36">
        <v>12</v>
      </c>
    </row>
    <row r="53" spans="1:8" x14ac:dyDescent="0.3">
      <c r="A53" s="38">
        <v>43911</v>
      </c>
      <c r="B53" s="36">
        <v>9</v>
      </c>
      <c r="C53" s="36"/>
      <c r="D53" s="36">
        <v>9</v>
      </c>
      <c r="E53" s="36"/>
      <c r="F53" s="36">
        <v>1</v>
      </c>
      <c r="G53" s="36">
        <v>1</v>
      </c>
      <c r="H53" s="36">
        <v>10</v>
      </c>
    </row>
    <row r="54" spans="1:8" x14ac:dyDescent="0.3">
      <c r="A54" s="38">
        <v>43913</v>
      </c>
      <c r="B54" s="36">
        <v>16</v>
      </c>
      <c r="C54" s="36"/>
      <c r="D54" s="36">
        <v>16</v>
      </c>
      <c r="E54" s="36"/>
      <c r="F54" s="36"/>
      <c r="G54" s="36"/>
      <c r="H54" s="36">
        <v>16</v>
      </c>
    </row>
    <row r="55" spans="1:8" x14ac:dyDescent="0.3">
      <c r="A55" s="38">
        <v>43916</v>
      </c>
      <c r="B55" s="36"/>
      <c r="C55" s="36"/>
      <c r="D55" s="36"/>
      <c r="E55" s="36"/>
      <c r="F55" s="36">
        <v>8</v>
      </c>
      <c r="G55" s="36">
        <v>8</v>
      </c>
      <c r="H55" s="36">
        <v>8</v>
      </c>
    </row>
    <row r="56" spans="1:8" x14ac:dyDescent="0.3">
      <c r="A56" s="38">
        <v>43917</v>
      </c>
      <c r="B56" s="36">
        <v>20</v>
      </c>
      <c r="C56" s="36"/>
      <c r="D56" s="36">
        <v>20</v>
      </c>
      <c r="E56" s="36"/>
      <c r="F56" s="36">
        <v>6</v>
      </c>
      <c r="G56" s="36">
        <v>6</v>
      </c>
      <c r="H56" s="36">
        <v>26</v>
      </c>
    </row>
    <row r="57" spans="1:8" x14ac:dyDescent="0.3">
      <c r="A57" s="38">
        <v>43919</v>
      </c>
      <c r="B57" s="36"/>
      <c r="C57" s="36"/>
      <c r="D57" s="36"/>
      <c r="E57" s="36"/>
      <c r="F57" s="36">
        <v>20</v>
      </c>
      <c r="G57" s="36">
        <v>20</v>
      </c>
      <c r="H57" s="36">
        <v>20</v>
      </c>
    </row>
    <row r="58" spans="1:8" x14ac:dyDescent="0.3">
      <c r="A58" s="38">
        <v>43920</v>
      </c>
      <c r="B58" s="36"/>
      <c r="C58" s="36"/>
      <c r="D58" s="36"/>
      <c r="E58" s="36"/>
      <c r="F58" s="36">
        <v>15</v>
      </c>
      <c r="G58" s="36">
        <v>15</v>
      </c>
      <c r="H58" s="36">
        <v>15</v>
      </c>
    </row>
    <row r="59" spans="1:8" x14ac:dyDescent="0.3">
      <c r="A59" s="38">
        <v>43923</v>
      </c>
      <c r="B59" s="36">
        <v>7</v>
      </c>
      <c r="C59" s="36">
        <v>9</v>
      </c>
      <c r="D59" s="36">
        <v>16</v>
      </c>
      <c r="E59" s="36"/>
      <c r="F59" s="36"/>
      <c r="G59" s="36"/>
      <c r="H59" s="36">
        <v>16</v>
      </c>
    </row>
    <row r="60" spans="1:8" x14ac:dyDescent="0.3">
      <c r="A60" s="38">
        <v>43925</v>
      </c>
      <c r="B60" s="36"/>
      <c r="C60" s="36"/>
      <c r="D60" s="36"/>
      <c r="E60" s="36"/>
      <c r="F60" s="36">
        <v>6</v>
      </c>
      <c r="G60" s="36">
        <v>6</v>
      </c>
      <c r="H60" s="36">
        <v>6</v>
      </c>
    </row>
    <row r="61" spans="1:8" x14ac:dyDescent="0.3">
      <c r="A61" s="38">
        <v>43926</v>
      </c>
      <c r="B61" s="36"/>
      <c r="C61" s="36">
        <v>3</v>
      </c>
      <c r="D61" s="36">
        <v>3</v>
      </c>
      <c r="E61" s="36">
        <v>14</v>
      </c>
      <c r="F61" s="36"/>
      <c r="G61" s="36">
        <v>14</v>
      </c>
      <c r="H61" s="36">
        <v>17</v>
      </c>
    </row>
    <row r="62" spans="1:8" x14ac:dyDescent="0.3">
      <c r="A62" s="38">
        <v>43927</v>
      </c>
      <c r="B62" s="36">
        <v>5</v>
      </c>
      <c r="C62" s="36"/>
      <c r="D62" s="36">
        <v>5</v>
      </c>
      <c r="E62" s="36"/>
      <c r="F62" s="36"/>
      <c r="G62" s="36"/>
      <c r="H62" s="36">
        <v>5</v>
      </c>
    </row>
    <row r="63" spans="1:8" x14ac:dyDescent="0.3">
      <c r="A63" s="38">
        <v>43929</v>
      </c>
      <c r="B63" s="36">
        <v>3</v>
      </c>
      <c r="C63" s="36"/>
      <c r="D63" s="36">
        <v>3</v>
      </c>
      <c r="E63" s="36"/>
      <c r="F63" s="36"/>
      <c r="G63" s="36"/>
      <c r="H63" s="36">
        <v>3</v>
      </c>
    </row>
    <row r="64" spans="1:8" x14ac:dyDescent="0.3">
      <c r="A64" s="38">
        <v>43930</v>
      </c>
      <c r="B64" s="36">
        <v>31</v>
      </c>
      <c r="C64" s="36">
        <v>6</v>
      </c>
      <c r="D64" s="36">
        <v>37</v>
      </c>
      <c r="E64" s="36"/>
      <c r="F64" s="36">
        <v>26</v>
      </c>
      <c r="G64" s="36">
        <v>26</v>
      </c>
      <c r="H64" s="36">
        <v>63</v>
      </c>
    </row>
    <row r="65" spans="1:8" x14ac:dyDescent="0.3">
      <c r="A65" s="38">
        <v>43931</v>
      </c>
      <c r="B65" s="36">
        <v>13</v>
      </c>
      <c r="C65" s="36"/>
      <c r="D65" s="36">
        <v>13</v>
      </c>
      <c r="E65" s="36"/>
      <c r="F65" s="36"/>
      <c r="G65" s="36"/>
      <c r="H65" s="36">
        <v>13</v>
      </c>
    </row>
    <row r="66" spans="1:8" x14ac:dyDescent="0.3">
      <c r="A66" s="38">
        <v>43932</v>
      </c>
      <c r="B66" s="36"/>
      <c r="C66" s="36"/>
      <c r="D66" s="36"/>
      <c r="E66" s="36">
        <v>3</v>
      </c>
      <c r="F66" s="36"/>
      <c r="G66" s="36">
        <v>3</v>
      </c>
      <c r="H66" s="36">
        <v>3</v>
      </c>
    </row>
    <row r="67" spans="1:8" x14ac:dyDescent="0.3">
      <c r="A67" s="38">
        <v>43934</v>
      </c>
      <c r="B67" s="36">
        <v>10</v>
      </c>
      <c r="C67" s="36">
        <v>22</v>
      </c>
      <c r="D67" s="36">
        <v>32</v>
      </c>
      <c r="E67" s="36"/>
      <c r="F67" s="36"/>
      <c r="G67" s="36"/>
      <c r="H67" s="36">
        <v>32</v>
      </c>
    </row>
    <row r="68" spans="1:8" x14ac:dyDescent="0.3">
      <c r="A68" s="38">
        <v>43936</v>
      </c>
      <c r="B68" s="36">
        <v>4</v>
      </c>
      <c r="C68" s="36"/>
      <c r="D68" s="36">
        <v>4</v>
      </c>
      <c r="E68" s="36"/>
      <c r="F68" s="36">
        <v>4</v>
      </c>
      <c r="G68" s="36">
        <v>4</v>
      </c>
      <c r="H68" s="36">
        <v>8</v>
      </c>
    </row>
    <row r="69" spans="1:8" x14ac:dyDescent="0.3">
      <c r="A69" s="38">
        <v>43937</v>
      </c>
      <c r="B69" s="36"/>
      <c r="C69" s="36">
        <v>7</v>
      </c>
      <c r="D69" s="36">
        <v>7</v>
      </c>
      <c r="E69" s="36"/>
      <c r="F69" s="36">
        <v>18</v>
      </c>
      <c r="G69" s="36">
        <v>18</v>
      </c>
      <c r="H69" s="36">
        <v>25</v>
      </c>
    </row>
    <row r="70" spans="1:8" x14ac:dyDescent="0.3">
      <c r="A70" s="38">
        <v>43939</v>
      </c>
      <c r="B70" s="36">
        <v>24</v>
      </c>
      <c r="C70" s="36"/>
      <c r="D70" s="36">
        <v>24</v>
      </c>
      <c r="E70" s="36"/>
      <c r="F70" s="36"/>
      <c r="G70" s="36"/>
      <c r="H70" s="36">
        <v>24</v>
      </c>
    </row>
    <row r="71" spans="1:8" x14ac:dyDescent="0.3">
      <c r="A71" s="38">
        <v>43940</v>
      </c>
      <c r="B71" s="36">
        <v>8</v>
      </c>
      <c r="C71" s="36"/>
      <c r="D71" s="36">
        <v>8</v>
      </c>
      <c r="E71" s="36"/>
      <c r="F71" s="36"/>
      <c r="G71" s="36"/>
      <c r="H71" s="36">
        <v>8</v>
      </c>
    </row>
    <row r="72" spans="1:8" x14ac:dyDescent="0.3">
      <c r="A72" s="38">
        <v>43941</v>
      </c>
      <c r="B72" s="36">
        <v>5</v>
      </c>
      <c r="C72" s="36"/>
      <c r="D72" s="36">
        <v>5</v>
      </c>
      <c r="E72" s="36"/>
      <c r="F72" s="36"/>
      <c r="G72" s="36"/>
      <c r="H72" s="36">
        <v>5</v>
      </c>
    </row>
    <row r="73" spans="1:8" x14ac:dyDescent="0.3">
      <c r="A73" s="38">
        <v>43943</v>
      </c>
      <c r="B73" s="36"/>
      <c r="C73" s="36"/>
      <c r="D73" s="36"/>
      <c r="E73" s="36"/>
      <c r="F73" s="36">
        <v>8</v>
      </c>
      <c r="G73" s="36">
        <v>8</v>
      </c>
      <c r="H73" s="36">
        <v>8</v>
      </c>
    </row>
    <row r="74" spans="1:8" x14ac:dyDescent="0.3">
      <c r="A74" s="38">
        <v>43944</v>
      </c>
      <c r="B74" s="36">
        <v>1</v>
      </c>
      <c r="C74" s="36"/>
      <c r="D74" s="36">
        <v>1</v>
      </c>
      <c r="E74" s="36"/>
      <c r="F74" s="36">
        <v>13</v>
      </c>
      <c r="G74" s="36">
        <v>13</v>
      </c>
      <c r="H74" s="36">
        <v>14</v>
      </c>
    </row>
    <row r="75" spans="1:8" x14ac:dyDescent="0.3">
      <c r="A75" s="38">
        <v>43945</v>
      </c>
      <c r="B75" s="36"/>
      <c r="C75" s="36">
        <v>12</v>
      </c>
      <c r="D75" s="36">
        <v>12</v>
      </c>
      <c r="E75" s="36"/>
      <c r="F75" s="36"/>
      <c r="G75" s="36"/>
      <c r="H75" s="36">
        <v>12</v>
      </c>
    </row>
    <row r="76" spans="1:8" x14ac:dyDescent="0.3">
      <c r="A76" s="38">
        <v>43946</v>
      </c>
      <c r="B76" s="36">
        <v>21</v>
      </c>
      <c r="C76" s="36"/>
      <c r="D76" s="36">
        <v>21</v>
      </c>
      <c r="E76" s="36"/>
      <c r="F76" s="36">
        <v>15</v>
      </c>
      <c r="G76" s="36">
        <v>15</v>
      </c>
      <c r="H76" s="36">
        <v>36</v>
      </c>
    </row>
    <row r="77" spans="1:8" x14ac:dyDescent="0.3">
      <c r="A77" s="38">
        <v>43947</v>
      </c>
      <c r="B77" s="36"/>
      <c r="C77" s="36"/>
      <c r="D77" s="36"/>
      <c r="E77" s="36"/>
      <c r="F77" s="36">
        <v>16</v>
      </c>
      <c r="G77" s="36">
        <v>16</v>
      </c>
      <c r="H77" s="36">
        <v>16</v>
      </c>
    </row>
    <row r="78" spans="1:8" x14ac:dyDescent="0.3">
      <c r="A78" s="38">
        <v>43950</v>
      </c>
      <c r="B78" s="36"/>
      <c r="C78" s="36"/>
      <c r="D78" s="36"/>
      <c r="E78" s="36"/>
      <c r="F78" s="36">
        <v>8</v>
      </c>
      <c r="G78" s="36">
        <v>8</v>
      </c>
      <c r="H78" s="36">
        <v>8</v>
      </c>
    </row>
    <row r="79" spans="1:8" x14ac:dyDescent="0.3">
      <c r="A79" s="38">
        <v>43951</v>
      </c>
      <c r="B79" s="36">
        <v>2</v>
      </c>
      <c r="C79" s="36"/>
      <c r="D79" s="36">
        <v>2</v>
      </c>
      <c r="E79" s="36"/>
      <c r="F79" s="36">
        <v>11</v>
      </c>
      <c r="G79" s="36">
        <v>11</v>
      </c>
      <c r="H79" s="36">
        <v>13</v>
      </c>
    </row>
    <row r="80" spans="1:8" x14ac:dyDescent="0.3">
      <c r="A80" s="38">
        <v>43952</v>
      </c>
      <c r="B80" s="36">
        <v>8</v>
      </c>
      <c r="C80" s="36"/>
      <c r="D80" s="36">
        <v>8</v>
      </c>
      <c r="E80" s="36"/>
      <c r="F80" s="36">
        <v>12</v>
      </c>
      <c r="G80" s="36">
        <v>12</v>
      </c>
      <c r="H80" s="36">
        <v>20</v>
      </c>
    </row>
    <row r="81" spans="1:8" x14ac:dyDescent="0.3">
      <c r="A81" s="38">
        <v>43953</v>
      </c>
      <c r="B81" s="36"/>
      <c r="C81" s="36"/>
      <c r="D81" s="36"/>
      <c r="E81" s="36">
        <v>1</v>
      </c>
      <c r="F81" s="36"/>
      <c r="G81" s="36">
        <v>1</v>
      </c>
      <c r="H81" s="36">
        <v>1</v>
      </c>
    </row>
    <row r="82" spans="1:8" x14ac:dyDescent="0.3">
      <c r="A82" s="38">
        <v>43958</v>
      </c>
      <c r="B82" s="36"/>
      <c r="C82" s="36">
        <v>2</v>
      </c>
      <c r="D82" s="36">
        <v>2</v>
      </c>
      <c r="E82" s="36"/>
      <c r="F82" s="36"/>
      <c r="G82" s="36"/>
      <c r="H82" s="36">
        <v>2</v>
      </c>
    </row>
    <row r="83" spans="1:8" x14ac:dyDescent="0.3">
      <c r="A83" s="38">
        <v>43959</v>
      </c>
      <c r="B83" s="36"/>
      <c r="C83" s="36"/>
      <c r="D83" s="36"/>
      <c r="E83" s="36"/>
      <c r="F83" s="36">
        <v>6</v>
      </c>
      <c r="G83" s="36">
        <v>6</v>
      </c>
      <c r="H83" s="36">
        <v>6</v>
      </c>
    </row>
    <row r="84" spans="1:8" x14ac:dyDescent="0.3">
      <c r="A84" s="38">
        <v>43961</v>
      </c>
      <c r="B84" s="36"/>
      <c r="C84" s="36">
        <v>5</v>
      </c>
      <c r="D84" s="36">
        <v>5</v>
      </c>
      <c r="E84" s="36"/>
      <c r="F84" s="36"/>
      <c r="G84" s="36"/>
      <c r="H84" s="36">
        <v>5</v>
      </c>
    </row>
    <row r="85" spans="1:8" x14ac:dyDescent="0.3">
      <c r="A85" s="38">
        <v>43962</v>
      </c>
      <c r="B85" s="36">
        <v>6</v>
      </c>
      <c r="C85" s="36"/>
      <c r="D85" s="36">
        <v>6</v>
      </c>
      <c r="E85" s="36">
        <v>15</v>
      </c>
      <c r="F85" s="36"/>
      <c r="G85" s="36">
        <v>15</v>
      </c>
      <c r="H85" s="36">
        <v>21</v>
      </c>
    </row>
    <row r="86" spans="1:8" x14ac:dyDescent="0.3">
      <c r="A86" s="38">
        <v>43964</v>
      </c>
      <c r="B86" s="36"/>
      <c r="C86" s="36">
        <v>9</v>
      </c>
      <c r="D86" s="36">
        <v>9</v>
      </c>
      <c r="E86" s="36"/>
      <c r="F86" s="36"/>
      <c r="G86" s="36"/>
      <c r="H86" s="36">
        <v>9</v>
      </c>
    </row>
    <row r="87" spans="1:8" x14ac:dyDescent="0.3">
      <c r="A87" s="38">
        <v>43965</v>
      </c>
      <c r="B87" s="36">
        <v>11</v>
      </c>
      <c r="C87" s="36"/>
      <c r="D87" s="36">
        <v>11</v>
      </c>
      <c r="E87" s="36">
        <v>10</v>
      </c>
      <c r="F87" s="36"/>
      <c r="G87" s="36">
        <v>10</v>
      </c>
      <c r="H87" s="36">
        <v>21</v>
      </c>
    </row>
    <row r="88" spans="1:8" x14ac:dyDescent="0.3">
      <c r="A88" s="38">
        <v>43966</v>
      </c>
      <c r="B88" s="36"/>
      <c r="C88" s="36">
        <v>3</v>
      </c>
      <c r="D88" s="36">
        <v>3</v>
      </c>
      <c r="E88" s="36"/>
      <c r="F88" s="36"/>
      <c r="G88" s="36"/>
      <c r="H88" s="36">
        <v>3</v>
      </c>
    </row>
    <row r="89" spans="1:8" x14ac:dyDescent="0.3">
      <c r="A89" s="38">
        <v>43967</v>
      </c>
      <c r="B89" s="36"/>
      <c r="C89" s="36"/>
      <c r="D89" s="36"/>
      <c r="E89" s="36"/>
      <c r="F89" s="36">
        <v>29</v>
      </c>
      <c r="G89" s="36">
        <v>29</v>
      </c>
      <c r="H89" s="36">
        <v>29</v>
      </c>
    </row>
    <row r="90" spans="1:8" x14ac:dyDescent="0.3">
      <c r="A90" s="38">
        <v>43968</v>
      </c>
      <c r="B90" s="36"/>
      <c r="C90" s="36"/>
      <c r="D90" s="36"/>
      <c r="E90" s="36"/>
      <c r="F90" s="36">
        <v>6</v>
      </c>
      <c r="G90" s="36">
        <v>6</v>
      </c>
      <c r="H90" s="36">
        <v>6</v>
      </c>
    </row>
    <row r="91" spans="1:8" x14ac:dyDescent="0.3">
      <c r="A91" s="38">
        <v>43969</v>
      </c>
      <c r="B91" s="36">
        <v>24</v>
      </c>
      <c r="C91" s="36"/>
      <c r="D91" s="36">
        <v>24</v>
      </c>
      <c r="E91" s="36"/>
      <c r="F91" s="36"/>
      <c r="G91" s="36"/>
      <c r="H91" s="36">
        <v>24</v>
      </c>
    </row>
    <row r="92" spans="1:8" x14ac:dyDescent="0.3">
      <c r="A92" s="38">
        <v>43971</v>
      </c>
      <c r="B92" s="36"/>
      <c r="C92" s="36">
        <v>26</v>
      </c>
      <c r="D92" s="36">
        <v>26</v>
      </c>
      <c r="E92" s="36">
        <v>15</v>
      </c>
      <c r="F92" s="36"/>
      <c r="G92" s="36">
        <v>15</v>
      </c>
      <c r="H92" s="36">
        <v>41</v>
      </c>
    </row>
    <row r="93" spans="1:8" x14ac:dyDescent="0.3">
      <c r="A93" s="38">
        <v>43972</v>
      </c>
      <c r="B93" s="36"/>
      <c r="C93" s="36"/>
      <c r="D93" s="36"/>
      <c r="E93" s="36"/>
      <c r="F93" s="36">
        <v>18</v>
      </c>
      <c r="G93" s="36">
        <v>18</v>
      </c>
      <c r="H93" s="36">
        <v>18</v>
      </c>
    </row>
    <row r="94" spans="1:8" x14ac:dyDescent="0.3">
      <c r="A94" s="38">
        <v>43974</v>
      </c>
      <c r="B94" s="36"/>
      <c r="C94" s="36"/>
      <c r="D94" s="36"/>
      <c r="E94" s="36"/>
      <c r="F94" s="36">
        <v>3</v>
      </c>
      <c r="G94" s="36">
        <v>3</v>
      </c>
      <c r="H94" s="36">
        <v>3</v>
      </c>
    </row>
    <row r="95" spans="1:8" x14ac:dyDescent="0.3">
      <c r="A95" s="38">
        <v>43975</v>
      </c>
      <c r="B95" s="36">
        <v>4</v>
      </c>
      <c r="C95" s="36"/>
      <c r="D95" s="36">
        <v>4</v>
      </c>
      <c r="E95" s="36"/>
      <c r="F95" s="36"/>
      <c r="G95" s="36"/>
      <c r="H95" s="36">
        <v>4</v>
      </c>
    </row>
    <row r="96" spans="1:8" x14ac:dyDescent="0.3">
      <c r="A96" s="38">
        <v>43976</v>
      </c>
      <c r="B96" s="36"/>
      <c r="C96" s="36"/>
      <c r="D96" s="36"/>
      <c r="E96" s="36"/>
      <c r="F96" s="36">
        <v>9</v>
      </c>
      <c r="G96" s="36">
        <v>9</v>
      </c>
      <c r="H96" s="36">
        <v>9</v>
      </c>
    </row>
    <row r="97" spans="1:8" x14ac:dyDescent="0.3">
      <c r="A97" s="38">
        <v>43978</v>
      </c>
      <c r="B97" s="36">
        <v>10</v>
      </c>
      <c r="C97" s="36"/>
      <c r="D97" s="36">
        <v>10</v>
      </c>
      <c r="E97" s="36"/>
      <c r="F97" s="36">
        <v>3</v>
      </c>
      <c r="G97" s="36">
        <v>3</v>
      </c>
      <c r="H97" s="36">
        <v>13</v>
      </c>
    </row>
    <row r="98" spans="1:8" x14ac:dyDescent="0.3">
      <c r="A98" s="38">
        <v>43979</v>
      </c>
      <c r="B98" s="36">
        <v>23</v>
      </c>
      <c r="C98" s="36"/>
      <c r="D98" s="36">
        <v>23</v>
      </c>
      <c r="E98" s="36"/>
      <c r="F98" s="36">
        <v>8</v>
      </c>
      <c r="G98" s="36">
        <v>8</v>
      </c>
      <c r="H98" s="36">
        <v>31</v>
      </c>
    </row>
    <row r="99" spans="1:8" x14ac:dyDescent="0.3">
      <c r="A99" s="38">
        <v>43982</v>
      </c>
      <c r="B99" s="36"/>
      <c r="C99" s="36"/>
      <c r="D99" s="36"/>
      <c r="E99" s="36"/>
      <c r="F99" s="36">
        <v>5</v>
      </c>
      <c r="G99" s="36">
        <v>5</v>
      </c>
      <c r="H99" s="36">
        <v>5</v>
      </c>
    </row>
    <row r="100" spans="1:8" x14ac:dyDescent="0.3">
      <c r="A100" s="38">
        <v>43985</v>
      </c>
      <c r="B100" s="36">
        <v>14</v>
      </c>
      <c r="C100" s="36"/>
      <c r="D100" s="36">
        <v>14</v>
      </c>
      <c r="E100" s="36"/>
      <c r="F100" s="36"/>
      <c r="G100" s="36"/>
      <c r="H100" s="36">
        <v>14</v>
      </c>
    </row>
    <row r="101" spans="1:8" x14ac:dyDescent="0.3">
      <c r="A101" s="38">
        <v>43986</v>
      </c>
      <c r="B101" s="36">
        <v>12</v>
      </c>
      <c r="C101" s="36">
        <v>2</v>
      </c>
      <c r="D101" s="36">
        <v>14</v>
      </c>
      <c r="E101" s="36"/>
      <c r="F101" s="36"/>
      <c r="G101" s="36"/>
      <c r="H101" s="36">
        <v>14</v>
      </c>
    </row>
    <row r="102" spans="1:8" x14ac:dyDescent="0.3">
      <c r="A102" s="38">
        <v>43988</v>
      </c>
      <c r="B102" s="36"/>
      <c r="C102" s="36"/>
      <c r="D102" s="36"/>
      <c r="E102" s="36"/>
      <c r="F102" s="36">
        <v>9</v>
      </c>
      <c r="G102" s="36">
        <v>9</v>
      </c>
      <c r="H102" s="36">
        <v>9</v>
      </c>
    </row>
    <row r="103" spans="1:8" x14ac:dyDescent="0.3">
      <c r="A103" s="38">
        <v>43989</v>
      </c>
      <c r="B103" s="36"/>
      <c r="C103" s="36"/>
      <c r="D103" s="36"/>
      <c r="E103" s="36"/>
      <c r="F103" s="36">
        <v>6</v>
      </c>
      <c r="G103" s="36">
        <v>6</v>
      </c>
      <c r="H103" s="36">
        <v>6</v>
      </c>
    </row>
    <row r="104" spans="1:8" x14ac:dyDescent="0.3">
      <c r="A104" s="38">
        <v>43992</v>
      </c>
      <c r="B104" s="36"/>
      <c r="C104" s="36"/>
      <c r="D104" s="36"/>
      <c r="E104" s="36"/>
      <c r="F104" s="36">
        <v>18</v>
      </c>
      <c r="G104" s="36">
        <v>18</v>
      </c>
      <c r="H104" s="36">
        <v>18</v>
      </c>
    </row>
    <row r="105" spans="1:8" x14ac:dyDescent="0.3">
      <c r="A105" s="38">
        <v>43993</v>
      </c>
      <c r="B105" s="36">
        <v>13</v>
      </c>
      <c r="C105" s="36"/>
      <c r="D105" s="36">
        <v>13</v>
      </c>
      <c r="E105" s="36"/>
      <c r="F105" s="36"/>
      <c r="G105" s="36"/>
      <c r="H105" s="36">
        <v>13</v>
      </c>
    </row>
    <row r="106" spans="1:8" x14ac:dyDescent="0.3">
      <c r="A106" s="38">
        <v>43994</v>
      </c>
      <c r="B106" s="36">
        <v>3</v>
      </c>
      <c r="C106" s="36"/>
      <c r="D106" s="36">
        <v>3</v>
      </c>
      <c r="E106" s="36">
        <v>14</v>
      </c>
      <c r="F106" s="36"/>
      <c r="G106" s="36">
        <v>14</v>
      </c>
      <c r="H106" s="36">
        <v>17</v>
      </c>
    </row>
    <row r="107" spans="1:8" x14ac:dyDescent="0.3">
      <c r="A107" s="38">
        <v>43995</v>
      </c>
      <c r="B107" s="36">
        <v>18</v>
      </c>
      <c r="C107" s="36">
        <v>9</v>
      </c>
      <c r="D107" s="36">
        <v>27</v>
      </c>
      <c r="E107" s="36"/>
      <c r="F107" s="36"/>
      <c r="G107" s="36"/>
      <c r="H107" s="36">
        <v>27</v>
      </c>
    </row>
    <row r="108" spans="1:8" x14ac:dyDescent="0.3">
      <c r="A108" s="38">
        <v>43996</v>
      </c>
      <c r="B108" s="36"/>
      <c r="C108" s="36"/>
      <c r="D108" s="36"/>
      <c r="E108" s="36"/>
      <c r="F108" s="36">
        <v>10</v>
      </c>
      <c r="G108" s="36">
        <v>10</v>
      </c>
      <c r="H108" s="36">
        <v>10</v>
      </c>
    </row>
    <row r="109" spans="1:8" x14ac:dyDescent="0.3">
      <c r="A109" s="38">
        <v>43997</v>
      </c>
      <c r="B109" s="36"/>
      <c r="C109" s="36">
        <v>6</v>
      </c>
      <c r="D109" s="36">
        <v>6</v>
      </c>
      <c r="E109" s="36"/>
      <c r="F109" s="36"/>
      <c r="G109" s="36"/>
      <c r="H109" s="36">
        <v>6</v>
      </c>
    </row>
    <row r="110" spans="1:8" x14ac:dyDescent="0.3">
      <c r="A110" s="38">
        <v>44000</v>
      </c>
      <c r="B110" s="36">
        <v>12</v>
      </c>
      <c r="C110" s="36">
        <v>10</v>
      </c>
      <c r="D110" s="36">
        <v>22</v>
      </c>
      <c r="E110" s="36"/>
      <c r="F110" s="36">
        <v>6</v>
      </c>
      <c r="G110" s="36">
        <v>6</v>
      </c>
      <c r="H110" s="36">
        <v>28</v>
      </c>
    </row>
    <row r="111" spans="1:8" x14ac:dyDescent="0.3">
      <c r="A111" s="38">
        <v>44001</v>
      </c>
      <c r="B111" s="36">
        <v>33</v>
      </c>
      <c r="C111" s="36"/>
      <c r="D111" s="36">
        <v>33</v>
      </c>
      <c r="E111" s="36"/>
      <c r="F111" s="36"/>
      <c r="G111" s="36"/>
      <c r="H111" s="36">
        <v>33</v>
      </c>
    </row>
    <row r="112" spans="1:8" x14ac:dyDescent="0.3">
      <c r="A112" s="38">
        <v>44003</v>
      </c>
      <c r="B112" s="36">
        <v>11</v>
      </c>
      <c r="C112" s="36"/>
      <c r="D112" s="36">
        <v>11</v>
      </c>
      <c r="E112" s="36"/>
      <c r="F112" s="36">
        <v>6</v>
      </c>
      <c r="G112" s="36">
        <v>6</v>
      </c>
      <c r="H112" s="36">
        <v>17</v>
      </c>
    </row>
    <row r="113" spans="1:8" x14ac:dyDescent="0.3">
      <c r="A113" s="38">
        <v>44004</v>
      </c>
      <c r="B113" s="36">
        <v>3</v>
      </c>
      <c r="C113" s="36"/>
      <c r="D113" s="36">
        <v>3</v>
      </c>
      <c r="E113" s="36"/>
      <c r="F113" s="36"/>
      <c r="G113" s="36"/>
      <c r="H113" s="36">
        <v>3</v>
      </c>
    </row>
    <row r="114" spans="1:8" x14ac:dyDescent="0.3">
      <c r="A114" s="38">
        <v>44007</v>
      </c>
      <c r="B114" s="36">
        <v>46</v>
      </c>
      <c r="C114" s="36">
        <v>5</v>
      </c>
      <c r="D114" s="36">
        <v>51</v>
      </c>
      <c r="E114" s="36"/>
      <c r="F114" s="36"/>
      <c r="G114" s="36"/>
      <c r="H114" s="36">
        <v>51</v>
      </c>
    </row>
    <row r="115" spans="1:8" x14ac:dyDescent="0.3">
      <c r="A115" s="38">
        <v>44008</v>
      </c>
      <c r="B115" s="36">
        <v>6</v>
      </c>
      <c r="C115" s="36"/>
      <c r="D115" s="36">
        <v>6</v>
      </c>
      <c r="E115" s="36"/>
      <c r="F115" s="36">
        <v>11</v>
      </c>
      <c r="G115" s="36">
        <v>11</v>
      </c>
      <c r="H115" s="36">
        <v>17</v>
      </c>
    </row>
    <row r="116" spans="1:8" x14ac:dyDescent="0.3">
      <c r="A116" s="38">
        <v>44009</v>
      </c>
      <c r="B116" s="36">
        <v>22</v>
      </c>
      <c r="C116" s="36"/>
      <c r="D116" s="36">
        <v>22</v>
      </c>
      <c r="E116" s="36"/>
      <c r="F116" s="36">
        <v>2</v>
      </c>
      <c r="G116" s="36">
        <v>2</v>
      </c>
      <c r="H116" s="36">
        <v>24</v>
      </c>
    </row>
    <row r="117" spans="1:8" x14ac:dyDescent="0.3">
      <c r="A117" s="38">
        <v>44010</v>
      </c>
      <c r="B117" s="36">
        <v>12</v>
      </c>
      <c r="C117" s="36"/>
      <c r="D117" s="36">
        <v>12</v>
      </c>
      <c r="E117" s="36">
        <v>14</v>
      </c>
      <c r="F117" s="36">
        <v>19</v>
      </c>
      <c r="G117" s="36">
        <v>33</v>
      </c>
      <c r="H117" s="36">
        <v>45</v>
      </c>
    </row>
    <row r="118" spans="1:8" x14ac:dyDescent="0.3">
      <c r="A118" s="38">
        <v>44016</v>
      </c>
      <c r="B118" s="36"/>
      <c r="C118" s="36">
        <v>11</v>
      </c>
      <c r="D118" s="36">
        <v>11</v>
      </c>
      <c r="E118" s="36"/>
      <c r="F118" s="36">
        <v>14</v>
      </c>
      <c r="G118" s="36">
        <v>14</v>
      </c>
      <c r="H118" s="36">
        <v>25</v>
      </c>
    </row>
    <row r="119" spans="1:8" x14ac:dyDescent="0.3">
      <c r="A119" s="38">
        <v>44017</v>
      </c>
      <c r="B119" s="36"/>
      <c r="C119" s="36">
        <v>8</v>
      </c>
      <c r="D119" s="36">
        <v>8</v>
      </c>
      <c r="E119" s="36">
        <v>7</v>
      </c>
      <c r="F119" s="36">
        <v>13</v>
      </c>
      <c r="G119" s="36">
        <v>20</v>
      </c>
      <c r="H119" s="36">
        <v>28</v>
      </c>
    </row>
    <row r="120" spans="1:8" x14ac:dyDescent="0.3">
      <c r="A120" s="38">
        <v>44021</v>
      </c>
      <c r="B120" s="36">
        <v>27</v>
      </c>
      <c r="C120" s="36"/>
      <c r="D120" s="36">
        <v>27</v>
      </c>
      <c r="E120" s="36"/>
      <c r="F120" s="36"/>
      <c r="G120" s="36"/>
      <c r="H120" s="36">
        <v>27</v>
      </c>
    </row>
    <row r="121" spans="1:8" x14ac:dyDescent="0.3">
      <c r="A121" s="38">
        <v>44023</v>
      </c>
      <c r="B121" s="36">
        <v>14</v>
      </c>
      <c r="C121" s="36"/>
      <c r="D121" s="36">
        <v>14</v>
      </c>
      <c r="E121" s="36"/>
      <c r="F121" s="36"/>
      <c r="G121" s="36"/>
      <c r="H121" s="36">
        <v>14</v>
      </c>
    </row>
    <row r="122" spans="1:8" x14ac:dyDescent="0.3">
      <c r="A122" s="38">
        <v>44024</v>
      </c>
      <c r="B122" s="36">
        <v>9</v>
      </c>
      <c r="C122" s="36"/>
      <c r="D122" s="36">
        <v>9</v>
      </c>
      <c r="E122" s="36"/>
      <c r="F122" s="36"/>
      <c r="G122" s="36"/>
      <c r="H122" s="36">
        <v>9</v>
      </c>
    </row>
    <row r="123" spans="1:8" x14ac:dyDescent="0.3">
      <c r="A123" s="38">
        <v>44025</v>
      </c>
      <c r="B123" s="36">
        <v>14</v>
      </c>
      <c r="C123" s="36"/>
      <c r="D123" s="36">
        <v>14</v>
      </c>
      <c r="E123" s="36">
        <v>17</v>
      </c>
      <c r="F123" s="36"/>
      <c r="G123" s="36">
        <v>17</v>
      </c>
      <c r="H123" s="36">
        <v>31</v>
      </c>
    </row>
    <row r="124" spans="1:8" x14ac:dyDescent="0.3">
      <c r="A124" s="38">
        <v>44028</v>
      </c>
      <c r="B124" s="36">
        <v>15</v>
      </c>
      <c r="C124" s="36">
        <v>6</v>
      </c>
      <c r="D124" s="36">
        <v>21</v>
      </c>
      <c r="E124" s="36"/>
      <c r="F124" s="36"/>
      <c r="G124" s="36"/>
      <c r="H124" s="36">
        <v>21</v>
      </c>
    </row>
    <row r="125" spans="1:8" x14ac:dyDescent="0.3">
      <c r="A125" s="38">
        <v>44029</v>
      </c>
      <c r="B125" s="36">
        <v>2</v>
      </c>
      <c r="C125" s="36"/>
      <c r="D125" s="36">
        <v>2</v>
      </c>
      <c r="E125" s="36"/>
      <c r="F125" s="36"/>
      <c r="G125" s="36"/>
      <c r="H125" s="36">
        <v>2</v>
      </c>
    </row>
    <row r="126" spans="1:8" x14ac:dyDescent="0.3">
      <c r="A126" s="38">
        <v>44030</v>
      </c>
      <c r="B126" s="36"/>
      <c r="C126" s="36"/>
      <c r="D126" s="36"/>
      <c r="E126" s="36"/>
      <c r="F126" s="36">
        <v>8</v>
      </c>
      <c r="G126" s="36">
        <v>8</v>
      </c>
      <c r="H126" s="36">
        <v>8</v>
      </c>
    </row>
    <row r="127" spans="1:8" x14ac:dyDescent="0.3">
      <c r="A127" s="38">
        <v>44031</v>
      </c>
      <c r="B127" s="36"/>
      <c r="C127" s="36"/>
      <c r="D127" s="36"/>
      <c r="E127" s="36">
        <v>2</v>
      </c>
      <c r="F127" s="36"/>
      <c r="G127" s="36">
        <v>2</v>
      </c>
      <c r="H127" s="36">
        <v>2</v>
      </c>
    </row>
    <row r="128" spans="1:8" x14ac:dyDescent="0.3">
      <c r="A128" s="38">
        <v>44032</v>
      </c>
      <c r="B128" s="36">
        <v>14</v>
      </c>
      <c r="C128" s="36"/>
      <c r="D128" s="36">
        <v>14</v>
      </c>
      <c r="E128" s="36"/>
      <c r="F128" s="36">
        <v>13</v>
      </c>
      <c r="G128" s="36">
        <v>13</v>
      </c>
      <c r="H128" s="36">
        <v>27</v>
      </c>
    </row>
    <row r="129" spans="1:8" x14ac:dyDescent="0.3">
      <c r="A129" s="38">
        <v>44035</v>
      </c>
      <c r="B129" s="36">
        <v>15</v>
      </c>
      <c r="C129" s="36">
        <v>15</v>
      </c>
      <c r="D129" s="36">
        <v>30</v>
      </c>
      <c r="E129" s="36">
        <v>13</v>
      </c>
      <c r="F129" s="36"/>
      <c r="G129" s="36">
        <v>13</v>
      </c>
      <c r="H129" s="36">
        <v>43</v>
      </c>
    </row>
    <row r="130" spans="1:8" x14ac:dyDescent="0.3">
      <c r="A130" s="38">
        <v>44036</v>
      </c>
      <c r="B130" s="36">
        <v>7</v>
      </c>
      <c r="C130" s="36">
        <v>7</v>
      </c>
      <c r="D130" s="36">
        <v>14</v>
      </c>
      <c r="E130" s="36">
        <v>9</v>
      </c>
      <c r="F130" s="36"/>
      <c r="G130" s="36">
        <v>9</v>
      </c>
      <c r="H130" s="36">
        <v>23</v>
      </c>
    </row>
    <row r="131" spans="1:8" x14ac:dyDescent="0.3">
      <c r="A131" s="38">
        <v>44037</v>
      </c>
      <c r="B131" s="36"/>
      <c r="C131" s="36"/>
      <c r="D131" s="36"/>
      <c r="E131" s="36"/>
      <c r="F131" s="36">
        <v>14</v>
      </c>
      <c r="G131" s="36">
        <v>14</v>
      </c>
      <c r="H131" s="36">
        <v>14</v>
      </c>
    </row>
    <row r="132" spans="1:8" x14ac:dyDescent="0.3">
      <c r="A132" s="38">
        <v>44038</v>
      </c>
      <c r="B132" s="36">
        <v>9</v>
      </c>
      <c r="C132" s="36"/>
      <c r="D132" s="36">
        <v>9</v>
      </c>
      <c r="E132" s="36">
        <v>12</v>
      </c>
      <c r="F132" s="36"/>
      <c r="G132" s="36">
        <v>12</v>
      </c>
      <c r="H132" s="36">
        <v>21</v>
      </c>
    </row>
    <row r="133" spans="1:8" x14ac:dyDescent="0.3">
      <c r="A133" s="38">
        <v>44039</v>
      </c>
      <c r="B133" s="36"/>
      <c r="C133" s="36"/>
      <c r="D133" s="36"/>
      <c r="E133" s="36"/>
      <c r="F133" s="36">
        <v>2</v>
      </c>
      <c r="G133" s="36">
        <v>2</v>
      </c>
      <c r="H133" s="36">
        <v>2</v>
      </c>
    </row>
    <row r="134" spans="1:8" x14ac:dyDescent="0.3">
      <c r="A134" s="38">
        <v>44041</v>
      </c>
      <c r="B134" s="36">
        <v>12</v>
      </c>
      <c r="C134" s="36"/>
      <c r="D134" s="36">
        <v>12</v>
      </c>
      <c r="E134" s="36"/>
      <c r="F134" s="36"/>
      <c r="G134" s="36"/>
      <c r="H134" s="36">
        <v>12</v>
      </c>
    </row>
    <row r="135" spans="1:8" x14ac:dyDescent="0.3">
      <c r="A135" s="38">
        <v>44042</v>
      </c>
      <c r="B135" s="36"/>
      <c r="C135" s="36"/>
      <c r="D135" s="36"/>
      <c r="E135" s="36">
        <v>8</v>
      </c>
      <c r="F135" s="36">
        <v>12</v>
      </c>
      <c r="G135" s="36">
        <v>20</v>
      </c>
      <c r="H135" s="36">
        <v>20</v>
      </c>
    </row>
    <row r="136" spans="1:8" x14ac:dyDescent="0.3">
      <c r="A136" s="38">
        <v>44043</v>
      </c>
      <c r="B136" s="36">
        <v>10</v>
      </c>
      <c r="C136" s="36"/>
      <c r="D136" s="36">
        <v>10</v>
      </c>
      <c r="E136" s="36"/>
      <c r="F136" s="36">
        <v>12</v>
      </c>
      <c r="G136" s="36">
        <v>12</v>
      </c>
      <c r="H136" s="36">
        <v>22</v>
      </c>
    </row>
    <row r="137" spans="1:8" x14ac:dyDescent="0.3">
      <c r="A137" s="38">
        <v>44044</v>
      </c>
      <c r="B137" s="36">
        <v>11</v>
      </c>
      <c r="C137" s="36"/>
      <c r="D137" s="36">
        <v>11</v>
      </c>
      <c r="E137" s="36"/>
      <c r="F137" s="36"/>
      <c r="G137" s="36"/>
      <c r="H137" s="36">
        <v>11</v>
      </c>
    </row>
    <row r="138" spans="1:8" x14ac:dyDescent="0.3">
      <c r="A138" s="38">
        <v>44045</v>
      </c>
      <c r="B138" s="36">
        <v>10</v>
      </c>
      <c r="C138" s="36"/>
      <c r="D138" s="36">
        <v>10</v>
      </c>
      <c r="E138" s="36"/>
      <c r="F138" s="36"/>
      <c r="G138" s="36"/>
      <c r="H138" s="36">
        <v>10</v>
      </c>
    </row>
    <row r="139" spans="1:8" x14ac:dyDescent="0.3">
      <c r="A139" s="38">
        <v>44048</v>
      </c>
      <c r="B139" s="36"/>
      <c r="C139" s="36">
        <v>35</v>
      </c>
      <c r="D139" s="36">
        <v>35</v>
      </c>
      <c r="E139" s="36"/>
      <c r="F139" s="36"/>
      <c r="G139" s="36"/>
      <c r="H139" s="36">
        <v>35</v>
      </c>
    </row>
    <row r="140" spans="1:8" x14ac:dyDescent="0.3">
      <c r="A140" s="38">
        <v>44049</v>
      </c>
      <c r="B140" s="36">
        <v>22</v>
      </c>
      <c r="C140" s="36"/>
      <c r="D140" s="36">
        <v>22</v>
      </c>
      <c r="E140" s="36">
        <v>4</v>
      </c>
      <c r="F140" s="36"/>
      <c r="G140" s="36">
        <v>4</v>
      </c>
      <c r="H140" s="36">
        <v>26</v>
      </c>
    </row>
    <row r="141" spans="1:8" x14ac:dyDescent="0.3">
      <c r="A141" s="38">
        <v>44050</v>
      </c>
      <c r="B141" s="36">
        <v>8</v>
      </c>
      <c r="C141" s="36"/>
      <c r="D141" s="36">
        <v>8</v>
      </c>
      <c r="E141" s="36"/>
      <c r="F141" s="36">
        <v>5</v>
      </c>
      <c r="G141" s="36">
        <v>5</v>
      </c>
      <c r="H141" s="36">
        <v>13</v>
      </c>
    </row>
    <row r="142" spans="1:8" x14ac:dyDescent="0.3">
      <c r="A142" s="38">
        <v>44052</v>
      </c>
      <c r="B142" s="36"/>
      <c r="C142" s="36">
        <v>2</v>
      </c>
      <c r="D142" s="36">
        <v>2</v>
      </c>
      <c r="E142" s="36">
        <v>14</v>
      </c>
      <c r="F142" s="36"/>
      <c r="G142" s="36">
        <v>14</v>
      </c>
      <c r="H142" s="36">
        <v>16</v>
      </c>
    </row>
    <row r="143" spans="1:8" x14ac:dyDescent="0.3">
      <c r="A143" s="38">
        <v>44055</v>
      </c>
      <c r="B143" s="36">
        <v>13</v>
      </c>
      <c r="C143" s="36"/>
      <c r="D143" s="36">
        <v>13</v>
      </c>
      <c r="E143" s="36"/>
      <c r="F143" s="36"/>
      <c r="G143" s="36"/>
      <c r="H143" s="36">
        <v>13</v>
      </c>
    </row>
    <row r="144" spans="1:8" x14ac:dyDescent="0.3">
      <c r="A144" s="38">
        <v>44056</v>
      </c>
      <c r="B144" s="36"/>
      <c r="C144" s="36"/>
      <c r="D144" s="36"/>
      <c r="E144" s="36"/>
      <c r="F144" s="36">
        <v>3</v>
      </c>
      <c r="G144" s="36">
        <v>3</v>
      </c>
      <c r="H144" s="36">
        <v>3</v>
      </c>
    </row>
    <row r="145" spans="1:8" x14ac:dyDescent="0.3">
      <c r="A145" s="38">
        <v>44057</v>
      </c>
      <c r="B145" s="36">
        <v>20</v>
      </c>
      <c r="C145" s="36"/>
      <c r="D145" s="36">
        <v>20</v>
      </c>
      <c r="E145" s="36"/>
      <c r="F145" s="36"/>
      <c r="G145" s="36"/>
      <c r="H145" s="36">
        <v>20</v>
      </c>
    </row>
    <row r="146" spans="1:8" x14ac:dyDescent="0.3">
      <c r="A146" s="38">
        <v>44059</v>
      </c>
      <c r="B146" s="36">
        <v>9</v>
      </c>
      <c r="C146" s="36"/>
      <c r="D146" s="36">
        <v>9</v>
      </c>
      <c r="E146" s="36"/>
      <c r="F146" s="36"/>
      <c r="G146" s="36"/>
      <c r="H146" s="36">
        <v>9</v>
      </c>
    </row>
    <row r="147" spans="1:8" x14ac:dyDescent="0.3">
      <c r="A147" s="38">
        <v>44060</v>
      </c>
      <c r="B147" s="36"/>
      <c r="C147" s="36">
        <v>15</v>
      </c>
      <c r="D147" s="36">
        <v>15</v>
      </c>
      <c r="E147" s="36"/>
      <c r="F147" s="36"/>
      <c r="G147" s="36"/>
      <c r="H147" s="36">
        <v>15</v>
      </c>
    </row>
    <row r="148" spans="1:8" x14ac:dyDescent="0.3">
      <c r="A148" s="38">
        <v>44062</v>
      </c>
      <c r="B148" s="36">
        <v>1</v>
      </c>
      <c r="C148" s="36"/>
      <c r="D148" s="36">
        <v>1</v>
      </c>
      <c r="E148" s="36"/>
      <c r="F148" s="36">
        <v>15</v>
      </c>
      <c r="G148" s="36">
        <v>15</v>
      </c>
      <c r="H148" s="36">
        <v>16</v>
      </c>
    </row>
    <row r="149" spans="1:8" x14ac:dyDescent="0.3">
      <c r="A149" s="38">
        <v>44063</v>
      </c>
      <c r="B149" s="36"/>
      <c r="C149" s="36">
        <v>8</v>
      </c>
      <c r="D149" s="36">
        <v>8</v>
      </c>
      <c r="E149" s="36"/>
      <c r="F149" s="36"/>
      <c r="G149" s="36"/>
      <c r="H149" s="36">
        <v>8</v>
      </c>
    </row>
    <row r="150" spans="1:8" x14ac:dyDescent="0.3">
      <c r="A150" s="38">
        <v>44064</v>
      </c>
      <c r="B150" s="36"/>
      <c r="C150" s="36"/>
      <c r="D150" s="36"/>
      <c r="E150" s="36"/>
      <c r="F150" s="36">
        <v>7</v>
      </c>
      <c r="G150" s="36">
        <v>7</v>
      </c>
      <c r="H150" s="36">
        <v>7</v>
      </c>
    </row>
    <row r="151" spans="1:8" x14ac:dyDescent="0.3">
      <c r="A151" s="38">
        <v>44065</v>
      </c>
      <c r="B151" s="36"/>
      <c r="C151" s="36"/>
      <c r="D151" s="36"/>
      <c r="E151" s="36"/>
      <c r="F151" s="36">
        <v>13</v>
      </c>
      <c r="G151" s="36">
        <v>13</v>
      </c>
      <c r="H151" s="36">
        <v>13</v>
      </c>
    </row>
    <row r="152" spans="1:8" x14ac:dyDescent="0.3">
      <c r="A152" s="38">
        <v>44066</v>
      </c>
      <c r="B152" s="36">
        <v>9</v>
      </c>
      <c r="C152" s="36"/>
      <c r="D152" s="36">
        <v>9</v>
      </c>
      <c r="E152" s="36"/>
      <c r="F152" s="36"/>
      <c r="G152" s="36"/>
      <c r="H152" s="36">
        <v>9</v>
      </c>
    </row>
    <row r="153" spans="1:8" x14ac:dyDescent="0.3">
      <c r="A153" s="38">
        <v>44067</v>
      </c>
      <c r="B153" s="36">
        <v>4</v>
      </c>
      <c r="C153" s="36"/>
      <c r="D153" s="36">
        <v>4</v>
      </c>
      <c r="E153" s="36"/>
      <c r="F153" s="36"/>
      <c r="G153" s="36"/>
      <c r="H153" s="36">
        <v>4</v>
      </c>
    </row>
    <row r="154" spans="1:8" x14ac:dyDescent="0.3">
      <c r="A154" s="38">
        <v>44069</v>
      </c>
      <c r="B154" s="36">
        <v>12</v>
      </c>
      <c r="C154" s="36"/>
      <c r="D154" s="36">
        <v>12</v>
      </c>
      <c r="E154" s="36">
        <v>13</v>
      </c>
      <c r="F154" s="36"/>
      <c r="G154" s="36">
        <v>13</v>
      </c>
      <c r="H154" s="36">
        <v>25</v>
      </c>
    </row>
    <row r="155" spans="1:8" x14ac:dyDescent="0.3">
      <c r="A155" s="38">
        <v>44070</v>
      </c>
      <c r="B155" s="36"/>
      <c r="C155" s="36"/>
      <c r="D155" s="36"/>
      <c r="E155" s="36"/>
      <c r="F155" s="36">
        <v>18</v>
      </c>
      <c r="G155" s="36">
        <v>18</v>
      </c>
      <c r="H155" s="36">
        <v>18</v>
      </c>
    </row>
    <row r="156" spans="1:8" x14ac:dyDescent="0.3">
      <c r="A156" s="38">
        <v>44072</v>
      </c>
      <c r="B156" s="36"/>
      <c r="C156" s="36">
        <v>5</v>
      </c>
      <c r="D156" s="36">
        <v>5</v>
      </c>
      <c r="E156" s="36"/>
      <c r="F156" s="36"/>
      <c r="G156" s="36"/>
      <c r="H156" s="36">
        <v>5</v>
      </c>
    </row>
    <row r="157" spans="1:8" x14ac:dyDescent="0.3">
      <c r="A157" s="38">
        <v>44073</v>
      </c>
      <c r="B157" s="36">
        <v>12</v>
      </c>
      <c r="C157" s="36"/>
      <c r="D157" s="36">
        <v>12</v>
      </c>
      <c r="E157" s="36"/>
      <c r="F157" s="36"/>
      <c r="G157" s="36"/>
      <c r="H157" s="36">
        <v>12</v>
      </c>
    </row>
    <row r="158" spans="1:8" x14ac:dyDescent="0.3">
      <c r="A158" s="38">
        <v>44077</v>
      </c>
      <c r="B158" s="36"/>
      <c r="C158" s="36">
        <v>5</v>
      </c>
      <c r="D158" s="36">
        <v>5</v>
      </c>
      <c r="E158" s="36"/>
      <c r="F158" s="36">
        <v>23</v>
      </c>
      <c r="G158" s="36">
        <v>23</v>
      </c>
      <c r="H158" s="36">
        <v>28</v>
      </c>
    </row>
    <row r="159" spans="1:8" x14ac:dyDescent="0.3">
      <c r="A159" s="38">
        <v>44078</v>
      </c>
      <c r="B159" s="36">
        <v>9</v>
      </c>
      <c r="C159" s="36"/>
      <c r="D159" s="36">
        <v>9</v>
      </c>
      <c r="E159" s="36"/>
      <c r="F159" s="36"/>
      <c r="G159" s="36"/>
      <c r="H159" s="36">
        <v>9</v>
      </c>
    </row>
    <row r="160" spans="1:8" x14ac:dyDescent="0.3">
      <c r="A160" s="38">
        <v>44079</v>
      </c>
      <c r="B160" s="36"/>
      <c r="C160" s="36"/>
      <c r="D160" s="36"/>
      <c r="E160" s="36">
        <v>11</v>
      </c>
      <c r="F160" s="36"/>
      <c r="G160" s="36">
        <v>11</v>
      </c>
      <c r="H160" s="36">
        <v>11</v>
      </c>
    </row>
    <row r="161" spans="1:8" x14ac:dyDescent="0.3">
      <c r="A161" s="38">
        <v>44080</v>
      </c>
      <c r="B161" s="36">
        <v>1</v>
      </c>
      <c r="C161" s="36">
        <v>9</v>
      </c>
      <c r="D161" s="36">
        <v>10</v>
      </c>
      <c r="E161" s="36"/>
      <c r="F161" s="36"/>
      <c r="G161" s="36"/>
      <c r="H161" s="36">
        <v>10</v>
      </c>
    </row>
    <row r="162" spans="1:8" x14ac:dyDescent="0.3">
      <c r="A162" s="38">
        <v>44083</v>
      </c>
      <c r="B162" s="36">
        <v>25</v>
      </c>
      <c r="C162" s="36"/>
      <c r="D162" s="36">
        <v>25</v>
      </c>
      <c r="E162" s="36"/>
      <c r="F162" s="36"/>
      <c r="G162" s="36"/>
      <c r="H162" s="36">
        <v>25</v>
      </c>
    </row>
    <row r="163" spans="1:8" x14ac:dyDescent="0.3">
      <c r="A163" s="38">
        <v>44084</v>
      </c>
      <c r="B163" s="36"/>
      <c r="C163" s="36">
        <v>1</v>
      </c>
      <c r="D163" s="36">
        <v>1</v>
      </c>
      <c r="E163" s="36"/>
      <c r="F163" s="36">
        <v>14</v>
      </c>
      <c r="G163" s="36">
        <v>14</v>
      </c>
      <c r="H163" s="36">
        <v>15</v>
      </c>
    </row>
    <row r="164" spans="1:8" x14ac:dyDescent="0.3">
      <c r="A164" s="38">
        <v>44086</v>
      </c>
      <c r="B164" s="36">
        <v>13</v>
      </c>
      <c r="C164" s="36"/>
      <c r="D164" s="36">
        <v>13</v>
      </c>
      <c r="E164" s="36">
        <v>4</v>
      </c>
      <c r="F164" s="36"/>
      <c r="G164" s="36">
        <v>4</v>
      </c>
      <c r="H164" s="36">
        <v>17</v>
      </c>
    </row>
    <row r="165" spans="1:8" x14ac:dyDescent="0.3">
      <c r="A165" s="38">
        <v>44088</v>
      </c>
      <c r="B165" s="36">
        <v>10</v>
      </c>
      <c r="C165" s="36"/>
      <c r="D165" s="36">
        <v>10</v>
      </c>
      <c r="E165" s="36">
        <v>13</v>
      </c>
      <c r="F165" s="36">
        <v>26</v>
      </c>
      <c r="G165" s="36">
        <v>39</v>
      </c>
      <c r="H165" s="36">
        <v>49</v>
      </c>
    </row>
    <row r="166" spans="1:8" x14ac:dyDescent="0.3">
      <c r="A166" s="38">
        <v>44091</v>
      </c>
      <c r="B166" s="36">
        <v>8</v>
      </c>
      <c r="C166" s="36"/>
      <c r="D166" s="36">
        <v>8</v>
      </c>
      <c r="E166" s="36">
        <v>9</v>
      </c>
      <c r="F166" s="36">
        <v>18</v>
      </c>
      <c r="G166" s="36">
        <v>27</v>
      </c>
      <c r="H166" s="36">
        <v>35</v>
      </c>
    </row>
    <row r="167" spans="1:8" x14ac:dyDescent="0.3">
      <c r="A167" s="38">
        <v>44093</v>
      </c>
      <c r="B167" s="36"/>
      <c r="C167" s="36"/>
      <c r="D167" s="36"/>
      <c r="E167" s="36"/>
      <c r="F167" s="36">
        <v>13</v>
      </c>
      <c r="G167" s="36">
        <v>13</v>
      </c>
      <c r="H167" s="36">
        <v>13</v>
      </c>
    </row>
    <row r="168" spans="1:8" x14ac:dyDescent="0.3">
      <c r="A168" s="38">
        <v>44094</v>
      </c>
      <c r="B168" s="36">
        <v>11</v>
      </c>
      <c r="C168" s="36">
        <v>15</v>
      </c>
      <c r="D168" s="36">
        <v>26</v>
      </c>
      <c r="E168" s="36"/>
      <c r="F168" s="36">
        <v>14</v>
      </c>
      <c r="G168" s="36">
        <v>14</v>
      </c>
      <c r="H168" s="36">
        <v>40</v>
      </c>
    </row>
    <row r="169" spans="1:8" x14ac:dyDescent="0.3">
      <c r="A169" s="38">
        <v>44095</v>
      </c>
      <c r="B169" s="36"/>
      <c r="C169" s="36"/>
      <c r="D169" s="36"/>
      <c r="E169" s="36">
        <v>12</v>
      </c>
      <c r="F169" s="36">
        <v>10</v>
      </c>
      <c r="G169" s="36">
        <v>22</v>
      </c>
      <c r="H169" s="36">
        <v>22</v>
      </c>
    </row>
    <row r="170" spans="1:8" x14ac:dyDescent="0.3">
      <c r="A170" s="38">
        <v>44098</v>
      </c>
      <c r="B170" s="36"/>
      <c r="C170" s="36"/>
      <c r="D170" s="36"/>
      <c r="E170" s="36">
        <v>12</v>
      </c>
      <c r="F170" s="36">
        <v>4</v>
      </c>
      <c r="G170" s="36">
        <v>16</v>
      </c>
      <c r="H170" s="36">
        <v>16</v>
      </c>
    </row>
    <row r="171" spans="1:8" x14ac:dyDescent="0.3">
      <c r="A171" s="38">
        <v>44100</v>
      </c>
      <c r="B171" s="36"/>
      <c r="C171" s="36">
        <v>3</v>
      </c>
      <c r="D171" s="36">
        <v>3</v>
      </c>
      <c r="E171" s="36"/>
      <c r="F171" s="36"/>
      <c r="G171" s="36"/>
      <c r="H171" s="36">
        <v>3</v>
      </c>
    </row>
    <row r="172" spans="1:8" x14ac:dyDescent="0.3">
      <c r="A172" s="38">
        <v>44101</v>
      </c>
      <c r="B172" s="36"/>
      <c r="C172" s="36">
        <v>1</v>
      </c>
      <c r="D172" s="36">
        <v>1</v>
      </c>
      <c r="E172" s="36"/>
      <c r="F172" s="36"/>
      <c r="G172" s="36"/>
      <c r="H172" s="36">
        <v>1</v>
      </c>
    </row>
    <row r="173" spans="1:8" x14ac:dyDescent="0.3">
      <c r="A173" s="38">
        <v>44102</v>
      </c>
      <c r="B173" s="36"/>
      <c r="C173" s="36"/>
      <c r="D173" s="36"/>
      <c r="E173" s="36">
        <v>4</v>
      </c>
      <c r="F173" s="36"/>
      <c r="G173" s="36">
        <v>4</v>
      </c>
      <c r="H173" s="36">
        <v>4</v>
      </c>
    </row>
    <row r="174" spans="1:8" x14ac:dyDescent="0.3">
      <c r="A174" s="38">
        <v>44104</v>
      </c>
      <c r="B174" s="36"/>
      <c r="C174" s="36">
        <v>6</v>
      </c>
      <c r="D174" s="36">
        <v>6</v>
      </c>
      <c r="E174" s="36"/>
      <c r="F174" s="36">
        <v>1</v>
      </c>
      <c r="G174" s="36">
        <v>1</v>
      </c>
      <c r="H174" s="36">
        <v>7</v>
      </c>
    </row>
    <row r="175" spans="1:8" x14ac:dyDescent="0.3">
      <c r="A175" s="38">
        <v>44105</v>
      </c>
      <c r="B175" s="36"/>
      <c r="C175" s="36">
        <v>12</v>
      </c>
      <c r="D175" s="36">
        <v>12</v>
      </c>
      <c r="E175" s="36"/>
      <c r="F175" s="36"/>
      <c r="G175" s="36"/>
      <c r="H175" s="36">
        <v>12</v>
      </c>
    </row>
    <row r="176" spans="1:8" x14ac:dyDescent="0.3">
      <c r="A176" s="38">
        <v>44106</v>
      </c>
      <c r="B176" s="36"/>
      <c r="C176" s="36"/>
      <c r="D176" s="36"/>
      <c r="E176" s="36"/>
      <c r="F176" s="36">
        <v>1</v>
      </c>
      <c r="G176" s="36">
        <v>1</v>
      </c>
      <c r="H176" s="36">
        <v>1</v>
      </c>
    </row>
    <row r="177" spans="1:8" x14ac:dyDescent="0.3">
      <c r="A177" s="38">
        <v>44107</v>
      </c>
      <c r="B177" s="36">
        <v>39</v>
      </c>
      <c r="C177" s="36"/>
      <c r="D177" s="36">
        <v>39</v>
      </c>
      <c r="E177" s="36"/>
      <c r="F177" s="36">
        <v>6</v>
      </c>
      <c r="G177" s="36">
        <v>6</v>
      </c>
      <c r="H177" s="36">
        <v>45</v>
      </c>
    </row>
    <row r="178" spans="1:8" x14ac:dyDescent="0.3">
      <c r="A178" s="38">
        <v>44108</v>
      </c>
      <c r="B178" s="36"/>
      <c r="C178" s="36"/>
      <c r="D178" s="36"/>
      <c r="E178" s="36">
        <v>6</v>
      </c>
      <c r="F178" s="36"/>
      <c r="G178" s="36">
        <v>6</v>
      </c>
      <c r="H178" s="36">
        <v>6</v>
      </c>
    </row>
    <row r="179" spans="1:8" x14ac:dyDescent="0.3">
      <c r="A179" s="38">
        <v>44111</v>
      </c>
      <c r="B179" s="36"/>
      <c r="C179" s="36"/>
      <c r="D179" s="36"/>
      <c r="E179" s="36"/>
      <c r="F179" s="36">
        <v>18</v>
      </c>
      <c r="G179" s="36">
        <v>18</v>
      </c>
      <c r="H179" s="36">
        <v>18</v>
      </c>
    </row>
    <row r="180" spans="1:8" x14ac:dyDescent="0.3">
      <c r="A180" s="38">
        <v>44112</v>
      </c>
      <c r="B180" s="36">
        <v>29</v>
      </c>
      <c r="C180" s="36">
        <v>1</v>
      </c>
      <c r="D180" s="36">
        <v>30</v>
      </c>
      <c r="E180" s="36">
        <v>7</v>
      </c>
      <c r="F180" s="36"/>
      <c r="G180" s="36">
        <v>7</v>
      </c>
      <c r="H180" s="36">
        <v>37</v>
      </c>
    </row>
    <row r="181" spans="1:8" x14ac:dyDescent="0.3">
      <c r="A181" s="38">
        <v>44115</v>
      </c>
      <c r="B181" s="36"/>
      <c r="C181" s="36"/>
      <c r="D181" s="36"/>
      <c r="E181" s="36"/>
      <c r="F181" s="36">
        <v>12</v>
      </c>
      <c r="G181" s="36">
        <v>12</v>
      </c>
      <c r="H181" s="36">
        <v>12</v>
      </c>
    </row>
    <row r="182" spans="1:8" x14ac:dyDescent="0.3">
      <c r="A182" s="38">
        <v>44118</v>
      </c>
      <c r="B182" s="36"/>
      <c r="C182" s="36"/>
      <c r="D182" s="36"/>
      <c r="E182" s="36"/>
      <c r="F182" s="36">
        <v>1</v>
      </c>
      <c r="G182" s="36">
        <v>1</v>
      </c>
      <c r="H182" s="36">
        <v>1</v>
      </c>
    </row>
    <row r="183" spans="1:8" x14ac:dyDescent="0.3">
      <c r="A183" s="38">
        <v>44119</v>
      </c>
      <c r="B183" s="36">
        <v>2</v>
      </c>
      <c r="C183" s="36"/>
      <c r="D183" s="36">
        <v>2</v>
      </c>
      <c r="E183" s="36"/>
      <c r="F183" s="36">
        <v>13</v>
      </c>
      <c r="G183" s="36">
        <v>13</v>
      </c>
      <c r="H183" s="36">
        <v>15</v>
      </c>
    </row>
    <row r="184" spans="1:8" x14ac:dyDescent="0.3">
      <c r="A184" s="38">
        <v>44120</v>
      </c>
      <c r="B184" s="36">
        <v>4</v>
      </c>
      <c r="C184" s="36"/>
      <c r="D184" s="36">
        <v>4</v>
      </c>
      <c r="E184" s="36">
        <v>4</v>
      </c>
      <c r="F184" s="36"/>
      <c r="G184" s="36">
        <v>4</v>
      </c>
      <c r="H184" s="36">
        <v>8</v>
      </c>
    </row>
    <row r="185" spans="1:8" x14ac:dyDescent="0.3">
      <c r="A185" s="38">
        <v>44125</v>
      </c>
      <c r="B185" s="36"/>
      <c r="C185" s="36">
        <v>7</v>
      </c>
      <c r="D185" s="36">
        <v>7</v>
      </c>
      <c r="E185" s="36"/>
      <c r="F185" s="36"/>
      <c r="G185" s="36"/>
      <c r="H185" s="36">
        <v>7</v>
      </c>
    </row>
    <row r="186" spans="1:8" x14ac:dyDescent="0.3">
      <c r="A186" s="38">
        <v>44126</v>
      </c>
      <c r="B186" s="36">
        <v>17</v>
      </c>
      <c r="C186" s="36"/>
      <c r="D186" s="36">
        <v>17</v>
      </c>
      <c r="E186" s="36">
        <v>18</v>
      </c>
      <c r="F186" s="36"/>
      <c r="G186" s="36">
        <v>18</v>
      </c>
      <c r="H186" s="36">
        <v>35</v>
      </c>
    </row>
    <row r="187" spans="1:8" x14ac:dyDescent="0.3">
      <c r="A187" s="38">
        <v>44127</v>
      </c>
      <c r="B187" s="36"/>
      <c r="C187" s="36"/>
      <c r="D187" s="36"/>
      <c r="E187" s="36"/>
      <c r="F187" s="36">
        <v>12</v>
      </c>
      <c r="G187" s="36">
        <v>12</v>
      </c>
      <c r="H187" s="36">
        <v>12</v>
      </c>
    </row>
    <row r="188" spans="1:8" x14ac:dyDescent="0.3">
      <c r="A188" s="38">
        <v>44129</v>
      </c>
      <c r="B188" s="36"/>
      <c r="C188" s="36"/>
      <c r="D188" s="36"/>
      <c r="E188" s="36">
        <v>13</v>
      </c>
      <c r="F188" s="36">
        <v>14</v>
      </c>
      <c r="G188" s="36">
        <v>27</v>
      </c>
      <c r="H188" s="36">
        <v>27</v>
      </c>
    </row>
    <row r="189" spans="1:8" x14ac:dyDescent="0.3">
      <c r="A189" s="38">
        <v>44130</v>
      </c>
      <c r="B189" s="36"/>
      <c r="C189" s="36"/>
      <c r="D189" s="36"/>
      <c r="E189" s="36"/>
      <c r="F189" s="36">
        <v>4</v>
      </c>
      <c r="G189" s="36">
        <v>4</v>
      </c>
      <c r="H189" s="36">
        <v>4</v>
      </c>
    </row>
    <row r="190" spans="1:8" x14ac:dyDescent="0.3">
      <c r="A190" s="38">
        <v>44132</v>
      </c>
      <c r="B190" s="36">
        <v>2</v>
      </c>
      <c r="C190" s="36">
        <v>5</v>
      </c>
      <c r="D190" s="36">
        <v>7</v>
      </c>
      <c r="E190" s="36"/>
      <c r="F190" s="36"/>
      <c r="G190" s="36"/>
      <c r="H190" s="36">
        <v>7</v>
      </c>
    </row>
    <row r="191" spans="1:8" x14ac:dyDescent="0.3">
      <c r="A191" s="38">
        <v>44133</v>
      </c>
      <c r="B191" s="36">
        <v>15</v>
      </c>
      <c r="C191" s="36">
        <v>12</v>
      </c>
      <c r="D191" s="36">
        <v>27</v>
      </c>
      <c r="E191" s="36"/>
      <c r="F191" s="36"/>
      <c r="G191" s="36"/>
      <c r="H191" s="36">
        <v>27</v>
      </c>
    </row>
    <row r="192" spans="1:8" x14ac:dyDescent="0.3">
      <c r="A192" s="38">
        <v>44134</v>
      </c>
      <c r="B192" s="36">
        <v>5</v>
      </c>
      <c r="C192" s="36"/>
      <c r="D192" s="36">
        <v>5</v>
      </c>
      <c r="E192" s="36"/>
      <c r="F192" s="36">
        <v>9</v>
      </c>
      <c r="G192" s="36">
        <v>9</v>
      </c>
      <c r="H192" s="36">
        <v>14</v>
      </c>
    </row>
    <row r="193" spans="1:8" x14ac:dyDescent="0.3">
      <c r="A193" s="38">
        <v>44135</v>
      </c>
      <c r="B193" s="36">
        <v>4</v>
      </c>
      <c r="C193" s="36"/>
      <c r="D193" s="36">
        <v>4</v>
      </c>
      <c r="E193" s="36">
        <v>15</v>
      </c>
      <c r="F193" s="36"/>
      <c r="G193" s="36">
        <v>15</v>
      </c>
      <c r="H193" s="36">
        <v>19</v>
      </c>
    </row>
    <row r="194" spans="1:8" x14ac:dyDescent="0.3">
      <c r="A194" s="38">
        <v>44136</v>
      </c>
      <c r="B194" s="36"/>
      <c r="C194" s="36"/>
      <c r="D194" s="36"/>
      <c r="E194" s="36"/>
      <c r="F194" s="36">
        <v>10</v>
      </c>
      <c r="G194" s="36">
        <v>10</v>
      </c>
      <c r="H194" s="36">
        <v>10</v>
      </c>
    </row>
    <row r="195" spans="1:8" x14ac:dyDescent="0.3">
      <c r="A195" s="38">
        <v>44137</v>
      </c>
      <c r="B195" s="36"/>
      <c r="C195" s="36"/>
      <c r="D195" s="36"/>
      <c r="E195" s="36"/>
      <c r="F195" s="36">
        <v>2</v>
      </c>
      <c r="G195" s="36">
        <v>2</v>
      </c>
      <c r="H195" s="36">
        <v>2</v>
      </c>
    </row>
    <row r="196" spans="1:8" x14ac:dyDescent="0.3">
      <c r="A196" s="38">
        <v>44139</v>
      </c>
      <c r="B196" s="36">
        <v>13</v>
      </c>
      <c r="C196" s="36"/>
      <c r="D196" s="36">
        <v>13</v>
      </c>
      <c r="E196" s="36"/>
      <c r="F196" s="36"/>
      <c r="G196" s="36"/>
      <c r="H196" s="36">
        <v>13</v>
      </c>
    </row>
    <row r="197" spans="1:8" x14ac:dyDescent="0.3">
      <c r="A197" s="38">
        <v>44140</v>
      </c>
      <c r="B197" s="36"/>
      <c r="C197" s="36"/>
      <c r="D197" s="36"/>
      <c r="E197" s="36">
        <v>7</v>
      </c>
      <c r="F197" s="36">
        <v>6</v>
      </c>
      <c r="G197" s="36">
        <v>13</v>
      </c>
      <c r="H197" s="36">
        <v>13</v>
      </c>
    </row>
    <row r="198" spans="1:8" x14ac:dyDescent="0.3">
      <c r="A198" s="38">
        <v>44143</v>
      </c>
      <c r="B198" s="36"/>
      <c r="C198" s="36">
        <v>20</v>
      </c>
      <c r="D198" s="36">
        <v>20</v>
      </c>
      <c r="E198" s="36"/>
      <c r="F198" s="36"/>
      <c r="G198" s="36"/>
      <c r="H198" s="36">
        <v>20</v>
      </c>
    </row>
    <row r="199" spans="1:8" x14ac:dyDescent="0.3">
      <c r="A199" s="38">
        <v>44147</v>
      </c>
      <c r="B199" s="36">
        <v>14</v>
      </c>
      <c r="C199" s="36">
        <v>2</v>
      </c>
      <c r="D199" s="36">
        <v>16</v>
      </c>
      <c r="E199" s="36">
        <v>16</v>
      </c>
      <c r="F199" s="36">
        <v>25</v>
      </c>
      <c r="G199" s="36">
        <v>41</v>
      </c>
      <c r="H199" s="36">
        <v>57</v>
      </c>
    </row>
    <row r="200" spans="1:8" x14ac:dyDescent="0.3">
      <c r="A200" s="38">
        <v>44150</v>
      </c>
      <c r="B200" s="36">
        <v>3</v>
      </c>
      <c r="C200" s="36"/>
      <c r="D200" s="36">
        <v>3</v>
      </c>
      <c r="E200" s="36"/>
      <c r="F200" s="36"/>
      <c r="G200" s="36"/>
      <c r="H200" s="36">
        <v>3</v>
      </c>
    </row>
    <row r="201" spans="1:8" x14ac:dyDescent="0.3">
      <c r="A201" s="38">
        <v>44151</v>
      </c>
      <c r="B201" s="36">
        <v>15</v>
      </c>
      <c r="C201" s="36"/>
      <c r="D201" s="36">
        <v>15</v>
      </c>
      <c r="E201" s="36"/>
      <c r="F201" s="36"/>
      <c r="G201" s="36"/>
      <c r="H201" s="36">
        <v>15</v>
      </c>
    </row>
    <row r="202" spans="1:8" x14ac:dyDescent="0.3">
      <c r="A202" s="38">
        <v>44154</v>
      </c>
      <c r="B202" s="36">
        <v>13</v>
      </c>
      <c r="C202" s="36">
        <v>9</v>
      </c>
      <c r="D202" s="36">
        <v>22</v>
      </c>
      <c r="E202" s="36"/>
      <c r="F202" s="36">
        <v>36</v>
      </c>
      <c r="G202" s="36">
        <v>36</v>
      </c>
      <c r="H202" s="36">
        <v>58</v>
      </c>
    </row>
    <row r="203" spans="1:8" x14ac:dyDescent="0.3">
      <c r="A203" s="38">
        <v>44155</v>
      </c>
      <c r="B203" s="36">
        <v>11</v>
      </c>
      <c r="C203" s="36">
        <v>5</v>
      </c>
      <c r="D203" s="36">
        <v>16</v>
      </c>
      <c r="E203" s="36"/>
      <c r="F203" s="36"/>
      <c r="G203" s="36"/>
      <c r="H203" s="36">
        <v>16</v>
      </c>
    </row>
    <row r="204" spans="1:8" x14ac:dyDescent="0.3">
      <c r="A204" s="38">
        <v>44157</v>
      </c>
      <c r="B204" s="36">
        <v>30</v>
      </c>
      <c r="C204" s="36"/>
      <c r="D204" s="36">
        <v>30</v>
      </c>
      <c r="E204" s="36"/>
      <c r="F204" s="36">
        <v>15</v>
      </c>
      <c r="G204" s="36">
        <v>15</v>
      </c>
      <c r="H204" s="36">
        <v>45</v>
      </c>
    </row>
    <row r="205" spans="1:8" x14ac:dyDescent="0.3">
      <c r="A205" s="38">
        <v>44158</v>
      </c>
      <c r="B205" s="36">
        <v>23</v>
      </c>
      <c r="C205" s="36"/>
      <c r="D205" s="36">
        <v>23</v>
      </c>
      <c r="E205" s="36"/>
      <c r="F205" s="36">
        <v>29</v>
      </c>
      <c r="G205" s="36">
        <v>29</v>
      </c>
      <c r="H205" s="36">
        <v>52</v>
      </c>
    </row>
    <row r="206" spans="1:8" x14ac:dyDescent="0.3">
      <c r="A206" s="38">
        <v>44160</v>
      </c>
      <c r="B206" s="36">
        <v>22</v>
      </c>
      <c r="C206" s="36">
        <v>2</v>
      </c>
      <c r="D206" s="36">
        <v>24</v>
      </c>
      <c r="E206" s="36"/>
      <c r="F206" s="36"/>
      <c r="G206" s="36"/>
      <c r="H206" s="36">
        <v>24</v>
      </c>
    </row>
    <row r="207" spans="1:8" x14ac:dyDescent="0.3">
      <c r="A207" s="38">
        <v>44161</v>
      </c>
      <c r="B207" s="36">
        <v>14</v>
      </c>
      <c r="C207" s="36">
        <v>2</v>
      </c>
      <c r="D207" s="36">
        <v>16</v>
      </c>
      <c r="E207" s="36"/>
      <c r="F207" s="36"/>
      <c r="G207" s="36"/>
      <c r="H207" s="36">
        <v>16</v>
      </c>
    </row>
    <row r="208" spans="1:8" x14ac:dyDescent="0.3">
      <c r="A208" s="38">
        <v>44163</v>
      </c>
      <c r="B208" s="36">
        <v>9</v>
      </c>
      <c r="C208" s="36">
        <v>19</v>
      </c>
      <c r="D208" s="36">
        <v>28</v>
      </c>
      <c r="E208" s="36"/>
      <c r="F208" s="36"/>
      <c r="G208" s="36"/>
      <c r="H208" s="36">
        <v>28</v>
      </c>
    </row>
    <row r="209" spans="1:8" x14ac:dyDescent="0.3">
      <c r="A209" s="38">
        <v>44164</v>
      </c>
      <c r="B209" s="36">
        <v>15</v>
      </c>
      <c r="C209" s="36">
        <v>17</v>
      </c>
      <c r="D209" s="36">
        <v>32</v>
      </c>
      <c r="E209" s="36"/>
      <c r="F209" s="36"/>
      <c r="G209" s="36"/>
      <c r="H209" s="36">
        <v>32</v>
      </c>
    </row>
    <row r="210" spans="1:8" x14ac:dyDescent="0.3">
      <c r="A210" s="38">
        <v>44165</v>
      </c>
      <c r="B210" s="36"/>
      <c r="C210" s="36">
        <v>14</v>
      </c>
      <c r="D210" s="36">
        <v>14</v>
      </c>
      <c r="E210" s="36"/>
      <c r="F210" s="36"/>
      <c r="G210" s="36"/>
      <c r="H210" s="36">
        <v>14</v>
      </c>
    </row>
    <row r="211" spans="1:8" x14ac:dyDescent="0.3">
      <c r="A211" s="38">
        <v>44167</v>
      </c>
      <c r="B211" s="36">
        <v>14</v>
      </c>
      <c r="C211" s="36"/>
      <c r="D211" s="36">
        <v>14</v>
      </c>
      <c r="E211" s="36"/>
      <c r="F211" s="36"/>
      <c r="G211" s="36"/>
      <c r="H211" s="36">
        <v>14</v>
      </c>
    </row>
    <row r="212" spans="1:8" x14ac:dyDescent="0.3">
      <c r="A212" s="38">
        <v>44168</v>
      </c>
      <c r="B212" s="36"/>
      <c r="C212" s="36">
        <v>22</v>
      </c>
      <c r="D212" s="36">
        <v>22</v>
      </c>
      <c r="E212" s="36"/>
      <c r="F212" s="36"/>
      <c r="G212" s="36"/>
      <c r="H212" s="36">
        <v>22</v>
      </c>
    </row>
    <row r="213" spans="1:8" x14ac:dyDescent="0.3">
      <c r="A213" s="38">
        <v>44169</v>
      </c>
      <c r="B213" s="36">
        <v>15</v>
      </c>
      <c r="C213" s="36"/>
      <c r="D213" s="36">
        <v>15</v>
      </c>
      <c r="E213" s="36"/>
      <c r="F213" s="36">
        <v>12</v>
      </c>
      <c r="G213" s="36">
        <v>12</v>
      </c>
      <c r="H213" s="36">
        <v>27</v>
      </c>
    </row>
    <row r="214" spans="1:8" x14ac:dyDescent="0.3">
      <c r="A214" s="38">
        <v>44170</v>
      </c>
      <c r="B214" s="36">
        <v>13</v>
      </c>
      <c r="C214" s="36"/>
      <c r="D214" s="36">
        <v>13</v>
      </c>
      <c r="E214" s="36"/>
      <c r="F214" s="36"/>
      <c r="G214" s="36"/>
      <c r="H214" s="36">
        <v>13</v>
      </c>
    </row>
    <row r="215" spans="1:8" x14ac:dyDescent="0.3">
      <c r="A215" s="38">
        <v>44171</v>
      </c>
      <c r="B215" s="36"/>
      <c r="C215" s="36"/>
      <c r="D215" s="36"/>
      <c r="E215" s="36"/>
      <c r="F215" s="36">
        <v>3</v>
      </c>
      <c r="G215" s="36">
        <v>3</v>
      </c>
      <c r="H215" s="36">
        <v>3</v>
      </c>
    </row>
    <row r="216" spans="1:8" x14ac:dyDescent="0.3">
      <c r="A216" s="38">
        <v>44174</v>
      </c>
      <c r="B216" s="36">
        <v>13</v>
      </c>
      <c r="C216" s="36"/>
      <c r="D216" s="36">
        <v>13</v>
      </c>
      <c r="E216" s="36"/>
      <c r="F216" s="36"/>
      <c r="G216" s="36"/>
      <c r="H216" s="36">
        <v>13</v>
      </c>
    </row>
    <row r="217" spans="1:8" x14ac:dyDescent="0.3">
      <c r="A217" s="38">
        <v>44175</v>
      </c>
      <c r="B217" s="36">
        <v>15</v>
      </c>
      <c r="C217" s="36"/>
      <c r="D217" s="36">
        <v>15</v>
      </c>
      <c r="E217" s="36"/>
      <c r="F217" s="36">
        <v>10</v>
      </c>
      <c r="G217" s="36">
        <v>10</v>
      </c>
      <c r="H217" s="36">
        <v>25</v>
      </c>
    </row>
    <row r="218" spans="1:8" x14ac:dyDescent="0.3">
      <c r="A218" s="38">
        <v>44176</v>
      </c>
      <c r="B218" s="36"/>
      <c r="C218" s="36">
        <v>5</v>
      </c>
      <c r="D218" s="36">
        <v>5</v>
      </c>
      <c r="E218" s="36"/>
      <c r="F218" s="36">
        <v>7</v>
      </c>
      <c r="G218" s="36">
        <v>7</v>
      </c>
      <c r="H218" s="36">
        <v>12</v>
      </c>
    </row>
    <row r="219" spans="1:8" x14ac:dyDescent="0.3">
      <c r="A219" s="38">
        <v>44178</v>
      </c>
      <c r="B219" s="36"/>
      <c r="C219" s="36">
        <v>1</v>
      </c>
      <c r="D219" s="36">
        <v>1</v>
      </c>
      <c r="E219" s="36"/>
      <c r="F219" s="36">
        <v>7</v>
      </c>
      <c r="G219" s="36">
        <v>7</v>
      </c>
      <c r="H219" s="36">
        <v>8</v>
      </c>
    </row>
    <row r="220" spans="1:8" x14ac:dyDescent="0.3">
      <c r="A220" s="38">
        <v>44179</v>
      </c>
      <c r="B220" s="36">
        <v>7</v>
      </c>
      <c r="C220" s="36"/>
      <c r="D220" s="36">
        <v>7</v>
      </c>
      <c r="E220" s="36"/>
      <c r="F220" s="36"/>
      <c r="G220" s="36"/>
      <c r="H220" s="36">
        <v>7</v>
      </c>
    </row>
    <row r="221" spans="1:8" x14ac:dyDescent="0.3">
      <c r="A221" s="38">
        <v>44181</v>
      </c>
      <c r="B221" s="36"/>
      <c r="C221" s="36"/>
      <c r="D221" s="36"/>
      <c r="E221" s="36">
        <v>13</v>
      </c>
      <c r="F221" s="36"/>
      <c r="G221" s="36">
        <v>13</v>
      </c>
      <c r="H221" s="36">
        <v>13</v>
      </c>
    </row>
    <row r="222" spans="1:8" x14ac:dyDescent="0.3">
      <c r="A222" s="38">
        <v>44182</v>
      </c>
      <c r="B222" s="36">
        <v>11</v>
      </c>
      <c r="C222" s="36"/>
      <c r="D222" s="36">
        <v>11</v>
      </c>
      <c r="E222" s="36"/>
      <c r="F222" s="36">
        <v>13</v>
      </c>
      <c r="G222" s="36">
        <v>13</v>
      </c>
      <c r="H222" s="36">
        <v>24</v>
      </c>
    </row>
    <row r="223" spans="1:8" x14ac:dyDescent="0.3">
      <c r="A223" s="38">
        <v>44183</v>
      </c>
      <c r="B223" s="36"/>
      <c r="C223" s="36">
        <v>4</v>
      </c>
      <c r="D223" s="36">
        <v>4</v>
      </c>
      <c r="E223" s="36"/>
      <c r="F223" s="36"/>
      <c r="G223" s="36"/>
      <c r="H223" s="36">
        <v>4</v>
      </c>
    </row>
    <row r="224" spans="1:8" x14ac:dyDescent="0.3">
      <c r="A224" s="38">
        <v>44184</v>
      </c>
      <c r="B224" s="36"/>
      <c r="C224" s="36">
        <v>14</v>
      </c>
      <c r="D224" s="36">
        <v>14</v>
      </c>
      <c r="E224" s="36"/>
      <c r="F224" s="36"/>
      <c r="G224" s="36"/>
      <c r="H224" s="36">
        <v>14</v>
      </c>
    </row>
    <row r="225" spans="1:8" x14ac:dyDescent="0.3">
      <c r="A225" s="38">
        <v>44185</v>
      </c>
      <c r="B225" s="36">
        <v>22</v>
      </c>
      <c r="C225" s="36"/>
      <c r="D225" s="36">
        <v>22</v>
      </c>
      <c r="E225" s="36"/>
      <c r="F225" s="36"/>
      <c r="G225" s="36"/>
      <c r="H225" s="36">
        <v>22</v>
      </c>
    </row>
    <row r="226" spans="1:8" x14ac:dyDescent="0.3">
      <c r="A226" s="38">
        <v>44186</v>
      </c>
      <c r="B226" s="36">
        <v>19</v>
      </c>
      <c r="C226" s="36">
        <v>11</v>
      </c>
      <c r="D226" s="36">
        <v>30</v>
      </c>
      <c r="E226" s="36"/>
      <c r="F226" s="36"/>
      <c r="G226" s="36"/>
      <c r="H226" s="36">
        <v>30</v>
      </c>
    </row>
    <row r="227" spans="1:8" x14ac:dyDescent="0.3">
      <c r="A227" s="38">
        <v>44188</v>
      </c>
      <c r="B227" s="36">
        <v>6</v>
      </c>
      <c r="C227" s="36"/>
      <c r="D227" s="36">
        <v>6</v>
      </c>
      <c r="E227" s="36"/>
      <c r="F227" s="36"/>
      <c r="G227" s="36"/>
      <c r="H227" s="36">
        <v>6</v>
      </c>
    </row>
    <row r="228" spans="1:8" x14ac:dyDescent="0.3">
      <c r="A228" s="38">
        <v>44189</v>
      </c>
      <c r="B228" s="36">
        <v>12</v>
      </c>
      <c r="C228" s="36"/>
      <c r="D228" s="36">
        <v>12</v>
      </c>
      <c r="E228" s="36"/>
      <c r="F228" s="36">
        <v>19</v>
      </c>
      <c r="G228" s="36">
        <v>19</v>
      </c>
      <c r="H228" s="36">
        <v>31</v>
      </c>
    </row>
    <row r="229" spans="1:8" x14ac:dyDescent="0.3">
      <c r="A229" s="38">
        <v>44190</v>
      </c>
      <c r="B229" s="36">
        <v>12</v>
      </c>
      <c r="C229" s="36"/>
      <c r="D229" s="36">
        <v>12</v>
      </c>
      <c r="E229" s="36">
        <v>1</v>
      </c>
      <c r="F229" s="36">
        <v>20</v>
      </c>
      <c r="G229" s="36">
        <v>21</v>
      </c>
      <c r="H229" s="36">
        <v>33</v>
      </c>
    </row>
    <row r="230" spans="1:8" x14ac:dyDescent="0.3">
      <c r="A230" s="38">
        <v>44192</v>
      </c>
      <c r="B230" s="36">
        <v>3</v>
      </c>
      <c r="C230" s="36">
        <v>16</v>
      </c>
      <c r="D230" s="36">
        <v>19</v>
      </c>
      <c r="E230" s="36"/>
      <c r="F230" s="36">
        <v>3</v>
      </c>
      <c r="G230" s="36">
        <v>3</v>
      </c>
      <c r="H230" s="36">
        <v>22</v>
      </c>
    </row>
    <row r="231" spans="1:8" x14ac:dyDescent="0.3">
      <c r="A231" s="38">
        <v>44193</v>
      </c>
      <c r="B231" s="36">
        <v>28</v>
      </c>
      <c r="C231" s="36"/>
      <c r="D231" s="36">
        <v>28</v>
      </c>
      <c r="E231" s="36">
        <v>9</v>
      </c>
      <c r="F231" s="36"/>
      <c r="G231" s="36">
        <v>9</v>
      </c>
      <c r="H231" s="36">
        <v>37</v>
      </c>
    </row>
    <row r="232" spans="1:8" x14ac:dyDescent="0.3">
      <c r="A232" s="38">
        <v>44195</v>
      </c>
      <c r="B232" s="36">
        <v>29</v>
      </c>
      <c r="C232" s="36"/>
      <c r="D232" s="36">
        <v>29</v>
      </c>
      <c r="E232" s="36">
        <v>12</v>
      </c>
      <c r="F232" s="36">
        <v>15</v>
      </c>
      <c r="G232" s="36">
        <v>27</v>
      </c>
      <c r="H232" s="36">
        <v>56</v>
      </c>
    </row>
    <row r="233" spans="1:8" x14ac:dyDescent="0.3">
      <c r="A233" s="38">
        <v>44197</v>
      </c>
      <c r="B233" s="36">
        <v>13</v>
      </c>
      <c r="C233" s="36"/>
      <c r="D233" s="36">
        <v>13</v>
      </c>
      <c r="E233" s="36">
        <v>11</v>
      </c>
      <c r="F233" s="36">
        <v>23</v>
      </c>
      <c r="G233" s="36">
        <v>34</v>
      </c>
      <c r="H233" s="36">
        <v>47</v>
      </c>
    </row>
    <row r="234" spans="1:8" x14ac:dyDescent="0.3">
      <c r="A234" s="38">
        <v>44198</v>
      </c>
      <c r="B234" s="36"/>
      <c r="C234" s="36">
        <v>4</v>
      </c>
      <c r="D234" s="36">
        <v>4</v>
      </c>
      <c r="E234" s="36">
        <v>12</v>
      </c>
      <c r="F234" s="36"/>
      <c r="G234" s="36">
        <v>12</v>
      </c>
      <c r="H234" s="36">
        <v>16</v>
      </c>
    </row>
    <row r="235" spans="1:8" x14ac:dyDescent="0.3">
      <c r="A235" s="38">
        <v>44203</v>
      </c>
      <c r="B235" s="36">
        <v>2</v>
      </c>
      <c r="C235" s="36"/>
      <c r="D235" s="36">
        <v>2</v>
      </c>
      <c r="E235" s="36">
        <v>16</v>
      </c>
      <c r="F235" s="36"/>
      <c r="G235" s="36">
        <v>16</v>
      </c>
      <c r="H235" s="36">
        <v>18</v>
      </c>
    </row>
    <row r="236" spans="1:8" x14ac:dyDescent="0.3">
      <c r="A236" s="38">
        <v>44204</v>
      </c>
      <c r="B236" s="36">
        <v>24</v>
      </c>
      <c r="C236" s="36"/>
      <c r="D236" s="36">
        <v>24</v>
      </c>
      <c r="E236" s="36"/>
      <c r="F236" s="36">
        <v>18</v>
      </c>
      <c r="G236" s="36">
        <v>18</v>
      </c>
      <c r="H236" s="36">
        <v>42</v>
      </c>
    </row>
    <row r="237" spans="1:8" x14ac:dyDescent="0.3">
      <c r="A237" s="38">
        <v>44205</v>
      </c>
      <c r="B237" s="36">
        <v>1</v>
      </c>
      <c r="C237" s="36">
        <v>7</v>
      </c>
      <c r="D237" s="36">
        <v>8</v>
      </c>
      <c r="E237" s="36"/>
      <c r="F237" s="36">
        <v>11</v>
      </c>
      <c r="G237" s="36">
        <v>11</v>
      </c>
      <c r="H237" s="36">
        <v>19</v>
      </c>
    </row>
    <row r="238" spans="1:8" x14ac:dyDescent="0.3">
      <c r="A238" s="38">
        <v>44206</v>
      </c>
      <c r="B238" s="36">
        <v>42</v>
      </c>
      <c r="C238" s="36">
        <v>8</v>
      </c>
      <c r="D238" s="36">
        <v>50</v>
      </c>
      <c r="E238" s="36">
        <v>13</v>
      </c>
      <c r="F238" s="36">
        <v>16</v>
      </c>
      <c r="G238" s="36">
        <v>29</v>
      </c>
      <c r="H238" s="36">
        <v>79</v>
      </c>
    </row>
    <row r="239" spans="1:8" x14ac:dyDescent="0.3">
      <c r="A239" s="38">
        <v>44207</v>
      </c>
      <c r="B239" s="36"/>
      <c r="C239" s="36">
        <v>11</v>
      </c>
      <c r="D239" s="36">
        <v>11</v>
      </c>
      <c r="E239" s="36">
        <v>6</v>
      </c>
      <c r="F239" s="36">
        <v>7</v>
      </c>
      <c r="G239" s="36">
        <v>13</v>
      </c>
      <c r="H239" s="36">
        <v>24</v>
      </c>
    </row>
    <row r="240" spans="1:8" x14ac:dyDescent="0.3">
      <c r="A240" s="38">
        <v>44209</v>
      </c>
      <c r="B240" s="36">
        <v>1</v>
      </c>
      <c r="C240" s="36"/>
      <c r="D240" s="36">
        <v>1</v>
      </c>
      <c r="E240" s="36"/>
      <c r="F240" s="36"/>
      <c r="G240" s="36"/>
      <c r="H240" s="36">
        <v>1</v>
      </c>
    </row>
    <row r="241" spans="1:8" x14ac:dyDescent="0.3">
      <c r="A241" s="38">
        <v>44210</v>
      </c>
      <c r="B241" s="36"/>
      <c r="C241" s="36">
        <v>27</v>
      </c>
      <c r="D241" s="36">
        <v>27</v>
      </c>
      <c r="E241" s="36">
        <v>28</v>
      </c>
      <c r="F241" s="36">
        <v>1</v>
      </c>
      <c r="G241" s="36">
        <v>29</v>
      </c>
      <c r="H241" s="36">
        <v>56</v>
      </c>
    </row>
    <row r="242" spans="1:8" x14ac:dyDescent="0.3">
      <c r="A242" s="38">
        <v>44212</v>
      </c>
      <c r="B242" s="36"/>
      <c r="C242" s="36">
        <v>6</v>
      </c>
      <c r="D242" s="36">
        <v>6</v>
      </c>
      <c r="E242" s="36">
        <v>13</v>
      </c>
      <c r="F242" s="36"/>
      <c r="G242" s="36">
        <v>13</v>
      </c>
      <c r="H242" s="36">
        <v>19</v>
      </c>
    </row>
    <row r="243" spans="1:8" x14ac:dyDescent="0.3">
      <c r="A243" s="38">
        <v>44213</v>
      </c>
      <c r="B243" s="36">
        <v>29</v>
      </c>
      <c r="C243" s="36"/>
      <c r="D243" s="36">
        <v>29</v>
      </c>
      <c r="E243" s="36"/>
      <c r="F243" s="36"/>
      <c r="G243" s="36"/>
      <c r="H243" s="36">
        <v>29</v>
      </c>
    </row>
    <row r="244" spans="1:8" x14ac:dyDescent="0.3">
      <c r="A244" s="38">
        <v>44214</v>
      </c>
      <c r="B244" s="36">
        <v>2</v>
      </c>
      <c r="C244" s="36"/>
      <c r="D244" s="36">
        <v>2</v>
      </c>
      <c r="E244" s="36">
        <v>10</v>
      </c>
      <c r="F244" s="36">
        <v>8</v>
      </c>
      <c r="G244" s="36">
        <v>18</v>
      </c>
      <c r="H244" s="36">
        <v>20</v>
      </c>
    </row>
    <row r="245" spans="1:8" x14ac:dyDescent="0.3">
      <c r="A245" s="38">
        <v>44217</v>
      </c>
      <c r="B245" s="36">
        <v>25</v>
      </c>
      <c r="C245" s="36"/>
      <c r="D245" s="36">
        <v>25</v>
      </c>
      <c r="E245" s="36"/>
      <c r="F245" s="36"/>
      <c r="G245" s="36"/>
      <c r="H245" s="36">
        <v>25</v>
      </c>
    </row>
    <row r="246" spans="1:8" x14ac:dyDescent="0.3">
      <c r="A246" s="38">
        <v>44218</v>
      </c>
      <c r="B246" s="36"/>
      <c r="C246" s="36">
        <v>10</v>
      </c>
      <c r="D246" s="36">
        <v>10</v>
      </c>
      <c r="E246" s="36"/>
      <c r="F246" s="36"/>
      <c r="G246" s="36"/>
      <c r="H246" s="36">
        <v>10</v>
      </c>
    </row>
    <row r="247" spans="1:8" x14ac:dyDescent="0.3">
      <c r="A247" s="38">
        <v>44220</v>
      </c>
      <c r="B247" s="36"/>
      <c r="C247" s="36">
        <v>11</v>
      </c>
      <c r="D247" s="36">
        <v>11</v>
      </c>
      <c r="E247" s="36"/>
      <c r="F247" s="36">
        <v>15</v>
      </c>
      <c r="G247" s="36">
        <v>15</v>
      </c>
      <c r="H247" s="36">
        <v>26</v>
      </c>
    </row>
    <row r="248" spans="1:8" x14ac:dyDescent="0.3">
      <c r="A248" s="38">
        <v>44221</v>
      </c>
      <c r="B248" s="36"/>
      <c r="C248" s="36">
        <v>10</v>
      </c>
      <c r="D248" s="36">
        <v>10</v>
      </c>
      <c r="E248" s="36"/>
      <c r="F248" s="36"/>
      <c r="G248" s="36"/>
      <c r="H248" s="36">
        <v>10</v>
      </c>
    </row>
    <row r="249" spans="1:8" x14ac:dyDescent="0.3">
      <c r="A249" s="38">
        <v>44223</v>
      </c>
      <c r="B249" s="36"/>
      <c r="C249" s="36">
        <v>11</v>
      </c>
      <c r="D249" s="36">
        <v>11</v>
      </c>
      <c r="E249" s="36"/>
      <c r="F249" s="36"/>
      <c r="G249" s="36"/>
      <c r="H249" s="36">
        <v>11</v>
      </c>
    </row>
    <row r="250" spans="1:8" x14ac:dyDescent="0.3">
      <c r="A250" s="38">
        <v>44224</v>
      </c>
      <c r="B250" s="36">
        <v>2</v>
      </c>
      <c r="C250" s="36"/>
      <c r="D250" s="36">
        <v>2</v>
      </c>
      <c r="E250" s="36">
        <v>15</v>
      </c>
      <c r="F250" s="36">
        <v>11</v>
      </c>
      <c r="G250" s="36">
        <v>26</v>
      </c>
      <c r="H250" s="36">
        <v>28</v>
      </c>
    </row>
    <row r="251" spans="1:8" x14ac:dyDescent="0.3">
      <c r="A251" s="38">
        <v>44225</v>
      </c>
      <c r="B251" s="36">
        <v>8</v>
      </c>
      <c r="C251" s="36"/>
      <c r="D251" s="36">
        <v>8</v>
      </c>
      <c r="E251" s="36"/>
      <c r="F251" s="36">
        <v>17</v>
      </c>
      <c r="G251" s="36">
        <v>17</v>
      </c>
      <c r="H251" s="36">
        <v>25</v>
      </c>
    </row>
    <row r="252" spans="1:8" x14ac:dyDescent="0.3">
      <c r="A252" s="38">
        <v>44226</v>
      </c>
      <c r="B252" s="36"/>
      <c r="C252" s="36">
        <v>2</v>
      </c>
      <c r="D252" s="36">
        <v>2</v>
      </c>
      <c r="E252" s="36">
        <v>9</v>
      </c>
      <c r="F252" s="36"/>
      <c r="G252" s="36">
        <v>9</v>
      </c>
      <c r="H252" s="36">
        <v>11</v>
      </c>
    </row>
    <row r="253" spans="1:8" x14ac:dyDescent="0.3">
      <c r="A253" s="38">
        <v>44227</v>
      </c>
      <c r="B253" s="36"/>
      <c r="C253" s="36"/>
      <c r="D253" s="36"/>
      <c r="E253" s="36"/>
      <c r="F253" s="36">
        <v>15</v>
      </c>
      <c r="G253" s="36">
        <v>15</v>
      </c>
      <c r="H253" s="36">
        <v>15</v>
      </c>
    </row>
    <row r="254" spans="1:8" x14ac:dyDescent="0.3">
      <c r="A254" s="38">
        <v>44228</v>
      </c>
      <c r="B254" s="36">
        <v>4</v>
      </c>
      <c r="C254" s="36"/>
      <c r="D254" s="36">
        <v>4</v>
      </c>
      <c r="E254" s="36">
        <v>15</v>
      </c>
      <c r="F254" s="36"/>
      <c r="G254" s="36">
        <v>15</v>
      </c>
      <c r="H254" s="36">
        <v>19</v>
      </c>
    </row>
    <row r="255" spans="1:8" x14ac:dyDescent="0.3">
      <c r="A255" s="38">
        <v>44230</v>
      </c>
      <c r="B255" s="36">
        <v>13</v>
      </c>
      <c r="C255" s="36">
        <v>1</v>
      </c>
      <c r="D255" s="36">
        <v>14</v>
      </c>
      <c r="E255" s="36"/>
      <c r="F255" s="36">
        <v>21</v>
      </c>
      <c r="G255" s="36">
        <v>21</v>
      </c>
      <c r="H255" s="36">
        <v>35</v>
      </c>
    </row>
    <row r="256" spans="1:8" x14ac:dyDescent="0.3">
      <c r="A256" s="38">
        <v>44231</v>
      </c>
      <c r="B256" s="36"/>
      <c r="C256" s="36"/>
      <c r="D256" s="36"/>
      <c r="E256" s="36"/>
      <c r="F256" s="36">
        <v>13</v>
      </c>
      <c r="G256" s="36">
        <v>13</v>
      </c>
      <c r="H256" s="36">
        <v>13</v>
      </c>
    </row>
    <row r="257" spans="1:8" x14ac:dyDescent="0.3">
      <c r="A257" s="38">
        <v>44232</v>
      </c>
      <c r="B257" s="36">
        <v>6</v>
      </c>
      <c r="C257" s="36">
        <v>21</v>
      </c>
      <c r="D257" s="36">
        <v>27</v>
      </c>
      <c r="E257" s="36"/>
      <c r="F257" s="36"/>
      <c r="G257" s="36"/>
      <c r="H257" s="36">
        <v>27</v>
      </c>
    </row>
    <row r="258" spans="1:8" x14ac:dyDescent="0.3">
      <c r="A258" s="38">
        <v>44233</v>
      </c>
      <c r="B258" s="36"/>
      <c r="C258" s="36">
        <v>3</v>
      </c>
      <c r="D258" s="36">
        <v>3</v>
      </c>
      <c r="E258" s="36">
        <v>14</v>
      </c>
      <c r="F258" s="36"/>
      <c r="G258" s="36">
        <v>14</v>
      </c>
      <c r="H258" s="36">
        <v>17</v>
      </c>
    </row>
    <row r="259" spans="1:8" x14ac:dyDescent="0.3">
      <c r="A259" s="38">
        <v>44234</v>
      </c>
      <c r="B259" s="36">
        <v>7</v>
      </c>
      <c r="C259" s="36"/>
      <c r="D259" s="36">
        <v>7</v>
      </c>
      <c r="E259" s="36"/>
      <c r="F259" s="36"/>
      <c r="G259" s="36"/>
      <c r="H259" s="36">
        <v>7</v>
      </c>
    </row>
    <row r="260" spans="1:8" x14ac:dyDescent="0.3">
      <c r="A260" s="38">
        <v>44238</v>
      </c>
      <c r="B260" s="36"/>
      <c r="C260" s="36"/>
      <c r="D260" s="36"/>
      <c r="E260" s="36"/>
      <c r="F260" s="36">
        <v>50</v>
      </c>
      <c r="G260" s="36">
        <v>50</v>
      </c>
      <c r="H260" s="36">
        <v>50</v>
      </c>
    </row>
    <row r="261" spans="1:8" x14ac:dyDescent="0.3">
      <c r="A261" s="38">
        <v>44244</v>
      </c>
      <c r="B261" s="36">
        <v>14</v>
      </c>
      <c r="C261" s="36"/>
      <c r="D261" s="36">
        <v>14</v>
      </c>
      <c r="E261" s="36"/>
      <c r="F261" s="36"/>
      <c r="G261" s="36"/>
      <c r="H261" s="36">
        <v>14</v>
      </c>
    </row>
    <row r="262" spans="1:8" x14ac:dyDescent="0.3">
      <c r="A262" s="38">
        <v>44245</v>
      </c>
      <c r="B262" s="36"/>
      <c r="C262" s="36">
        <v>15</v>
      </c>
      <c r="D262" s="36">
        <v>15</v>
      </c>
      <c r="E262" s="36"/>
      <c r="F262" s="36">
        <v>2</v>
      </c>
      <c r="G262" s="36">
        <v>2</v>
      </c>
      <c r="H262" s="36">
        <v>17</v>
      </c>
    </row>
    <row r="263" spans="1:8" x14ac:dyDescent="0.3">
      <c r="A263" s="38">
        <v>44246</v>
      </c>
      <c r="B263" s="36"/>
      <c r="C263" s="36"/>
      <c r="D263" s="36"/>
      <c r="E263" s="36"/>
      <c r="F263" s="36">
        <v>7</v>
      </c>
      <c r="G263" s="36">
        <v>7</v>
      </c>
      <c r="H263" s="36">
        <v>7</v>
      </c>
    </row>
    <row r="264" spans="1:8" x14ac:dyDescent="0.3">
      <c r="A264" s="38">
        <v>44247</v>
      </c>
      <c r="B264" s="36"/>
      <c r="C264" s="36"/>
      <c r="D264" s="36"/>
      <c r="E264" s="36">
        <v>4</v>
      </c>
      <c r="F264" s="36"/>
      <c r="G264" s="36">
        <v>4</v>
      </c>
      <c r="H264" s="36">
        <v>4</v>
      </c>
    </row>
    <row r="265" spans="1:8" x14ac:dyDescent="0.3">
      <c r="A265" s="38">
        <v>44249</v>
      </c>
      <c r="B265" s="36">
        <v>19</v>
      </c>
      <c r="C265" s="36">
        <v>9</v>
      </c>
      <c r="D265" s="36">
        <v>28</v>
      </c>
      <c r="E265" s="36"/>
      <c r="F265" s="36">
        <v>13</v>
      </c>
      <c r="G265" s="36">
        <v>13</v>
      </c>
      <c r="H265" s="36">
        <v>41</v>
      </c>
    </row>
    <row r="266" spans="1:8" x14ac:dyDescent="0.3">
      <c r="A266" s="38">
        <v>44251</v>
      </c>
      <c r="B266" s="36">
        <v>11</v>
      </c>
      <c r="C266" s="36"/>
      <c r="D266" s="36">
        <v>11</v>
      </c>
      <c r="E266" s="36"/>
      <c r="F266" s="36"/>
      <c r="G266" s="36"/>
      <c r="H266" s="36">
        <v>11</v>
      </c>
    </row>
    <row r="267" spans="1:8" x14ac:dyDescent="0.3">
      <c r="A267" s="38">
        <v>44252</v>
      </c>
      <c r="B267" s="36"/>
      <c r="C267" s="36">
        <v>3</v>
      </c>
      <c r="D267" s="36">
        <v>3</v>
      </c>
      <c r="E267" s="36"/>
      <c r="F267" s="36">
        <v>6</v>
      </c>
      <c r="G267" s="36">
        <v>6</v>
      </c>
      <c r="H267" s="36">
        <v>9</v>
      </c>
    </row>
    <row r="268" spans="1:8" x14ac:dyDescent="0.3">
      <c r="A268" s="38">
        <v>44254</v>
      </c>
      <c r="B268" s="36">
        <v>14</v>
      </c>
      <c r="C268" s="36"/>
      <c r="D268" s="36">
        <v>14</v>
      </c>
      <c r="E268" s="36"/>
      <c r="F268" s="36"/>
      <c r="G268" s="36"/>
      <c r="H268" s="36">
        <v>14</v>
      </c>
    </row>
    <row r="269" spans="1:8" x14ac:dyDescent="0.3">
      <c r="A269" s="38">
        <v>44256</v>
      </c>
      <c r="B269" s="36">
        <v>22</v>
      </c>
      <c r="C269" s="36"/>
      <c r="D269" s="36">
        <v>22</v>
      </c>
      <c r="E269" s="36"/>
      <c r="F269" s="36"/>
      <c r="G269" s="36"/>
      <c r="H269" s="36">
        <v>22</v>
      </c>
    </row>
    <row r="270" spans="1:8" x14ac:dyDescent="0.3">
      <c r="A270" s="38">
        <v>44258</v>
      </c>
      <c r="B270" s="36"/>
      <c r="C270" s="36"/>
      <c r="D270" s="36"/>
      <c r="E270" s="36"/>
      <c r="F270" s="36">
        <v>12</v>
      </c>
      <c r="G270" s="36">
        <v>12</v>
      </c>
      <c r="H270" s="36">
        <v>12</v>
      </c>
    </row>
    <row r="271" spans="1:8" x14ac:dyDescent="0.3">
      <c r="A271" s="38">
        <v>44259</v>
      </c>
      <c r="B271" s="36"/>
      <c r="C271" s="36"/>
      <c r="D271" s="36"/>
      <c r="E271" s="36"/>
      <c r="F271" s="36">
        <v>13</v>
      </c>
      <c r="G271" s="36">
        <v>13</v>
      </c>
      <c r="H271" s="36">
        <v>13</v>
      </c>
    </row>
    <row r="272" spans="1:8" x14ac:dyDescent="0.3">
      <c r="A272" s="38">
        <v>44262</v>
      </c>
      <c r="B272" s="36"/>
      <c r="C272" s="36"/>
      <c r="D272" s="36"/>
      <c r="E272" s="36"/>
      <c r="F272" s="36">
        <v>8</v>
      </c>
      <c r="G272" s="36">
        <v>8</v>
      </c>
      <c r="H272" s="36">
        <v>8</v>
      </c>
    </row>
    <row r="273" spans="1:8" x14ac:dyDescent="0.3">
      <c r="A273" s="38">
        <v>44266</v>
      </c>
      <c r="B273" s="36"/>
      <c r="C273" s="36">
        <v>4</v>
      </c>
      <c r="D273" s="36">
        <v>4</v>
      </c>
      <c r="E273" s="36"/>
      <c r="F273" s="36">
        <v>12</v>
      </c>
      <c r="G273" s="36">
        <v>12</v>
      </c>
      <c r="H273" s="36">
        <v>16</v>
      </c>
    </row>
    <row r="274" spans="1:8" x14ac:dyDescent="0.3">
      <c r="A274" s="38">
        <v>44269</v>
      </c>
      <c r="B274" s="36">
        <v>11</v>
      </c>
      <c r="C274" s="36"/>
      <c r="D274" s="36">
        <v>11</v>
      </c>
      <c r="E274" s="36"/>
      <c r="F274" s="36">
        <v>22</v>
      </c>
      <c r="G274" s="36">
        <v>22</v>
      </c>
      <c r="H274" s="36">
        <v>33</v>
      </c>
    </row>
    <row r="275" spans="1:8" x14ac:dyDescent="0.3">
      <c r="A275" s="38">
        <v>44270</v>
      </c>
      <c r="B275" s="36">
        <v>8</v>
      </c>
      <c r="C275" s="36"/>
      <c r="D275" s="36">
        <v>8</v>
      </c>
      <c r="E275" s="36">
        <v>4</v>
      </c>
      <c r="F275" s="36"/>
      <c r="G275" s="36">
        <v>4</v>
      </c>
      <c r="H275" s="36">
        <v>12</v>
      </c>
    </row>
    <row r="276" spans="1:8" x14ac:dyDescent="0.3">
      <c r="A276" s="38">
        <v>44273</v>
      </c>
      <c r="B276" s="36"/>
      <c r="C276" s="36">
        <v>8</v>
      </c>
      <c r="D276" s="36">
        <v>8</v>
      </c>
      <c r="E276" s="36"/>
      <c r="F276" s="36">
        <v>4</v>
      </c>
      <c r="G276" s="36">
        <v>4</v>
      </c>
      <c r="H276" s="36">
        <v>12</v>
      </c>
    </row>
    <row r="277" spans="1:8" x14ac:dyDescent="0.3">
      <c r="A277" s="38">
        <v>44274</v>
      </c>
      <c r="B277" s="36"/>
      <c r="C277" s="36"/>
      <c r="D277" s="36"/>
      <c r="E277" s="36"/>
      <c r="F277" s="36">
        <v>27</v>
      </c>
      <c r="G277" s="36">
        <v>27</v>
      </c>
      <c r="H277" s="36">
        <v>27</v>
      </c>
    </row>
    <row r="278" spans="1:8" x14ac:dyDescent="0.3">
      <c r="A278" s="38">
        <v>44277</v>
      </c>
      <c r="B278" s="36"/>
      <c r="C278" s="36"/>
      <c r="D278" s="36"/>
      <c r="E278" s="36"/>
      <c r="F278" s="36">
        <v>1</v>
      </c>
      <c r="G278" s="36">
        <v>1</v>
      </c>
      <c r="H278" s="36">
        <v>1</v>
      </c>
    </row>
    <row r="279" spans="1:8" x14ac:dyDescent="0.3">
      <c r="A279" s="38">
        <v>44280</v>
      </c>
      <c r="B279" s="36"/>
      <c r="C279" s="36"/>
      <c r="D279" s="36"/>
      <c r="E279" s="36"/>
      <c r="F279" s="36">
        <v>10</v>
      </c>
      <c r="G279" s="36">
        <v>10</v>
      </c>
      <c r="H279" s="36">
        <v>10</v>
      </c>
    </row>
    <row r="280" spans="1:8" x14ac:dyDescent="0.3">
      <c r="A280" s="38">
        <v>44282</v>
      </c>
      <c r="B280" s="36">
        <v>9</v>
      </c>
      <c r="C280" s="36">
        <v>4</v>
      </c>
      <c r="D280" s="36">
        <v>13</v>
      </c>
      <c r="E280" s="36"/>
      <c r="F280" s="36">
        <v>18</v>
      </c>
      <c r="G280" s="36">
        <v>18</v>
      </c>
      <c r="H280" s="36">
        <v>31</v>
      </c>
    </row>
    <row r="281" spans="1:8" x14ac:dyDescent="0.3">
      <c r="A281" s="38">
        <v>44283</v>
      </c>
      <c r="B281" s="36">
        <v>4</v>
      </c>
      <c r="C281" s="36"/>
      <c r="D281" s="36">
        <v>4</v>
      </c>
      <c r="E281" s="36"/>
      <c r="F281" s="36"/>
      <c r="G281" s="36"/>
      <c r="H281" s="36">
        <v>4</v>
      </c>
    </row>
    <row r="282" spans="1:8" x14ac:dyDescent="0.3">
      <c r="A282" s="38">
        <v>44284</v>
      </c>
      <c r="B282" s="36">
        <v>6</v>
      </c>
      <c r="C282" s="36"/>
      <c r="D282" s="36">
        <v>6</v>
      </c>
      <c r="E282" s="36">
        <v>7</v>
      </c>
      <c r="F282" s="36"/>
      <c r="G282" s="36">
        <v>7</v>
      </c>
      <c r="H282" s="36">
        <v>13</v>
      </c>
    </row>
    <row r="283" spans="1:8" x14ac:dyDescent="0.3">
      <c r="A283" s="38">
        <v>44286</v>
      </c>
      <c r="B283" s="36"/>
      <c r="C283" s="36">
        <v>14</v>
      </c>
      <c r="D283" s="36">
        <v>14</v>
      </c>
      <c r="E283" s="36"/>
      <c r="F283" s="36"/>
      <c r="G283" s="36"/>
      <c r="H283" s="36">
        <v>14</v>
      </c>
    </row>
    <row r="284" spans="1:8" x14ac:dyDescent="0.3">
      <c r="A284" s="38">
        <v>44287</v>
      </c>
      <c r="B284" s="36">
        <v>13</v>
      </c>
      <c r="C284" s="36">
        <v>10</v>
      </c>
      <c r="D284" s="36">
        <v>23</v>
      </c>
      <c r="E284" s="36"/>
      <c r="F284" s="36">
        <v>9</v>
      </c>
      <c r="G284" s="36">
        <v>9</v>
      </c>
      <c r="H284" s="36">
        <v>32</v>
      </c>
    </row>
    <row r="285" spans="1:8" x14ac:dyDescent="0.3">
      <c r="A285" s="38">
        <v>44288</v>
      </c>
      <c r="B285" s="36"/>
      <c r="C285" s="36">
        <v>4</v>
      </c>
      <c r="D285" s="36">
        <v>4</v>
      </c>
      <c r="E285" s="36"/>
      <c r="F285" s="36">
        <v>12</v>
      </c>
      <c r="G285" s="36">
        <v>12</v>
      </c>
      <c r="H285" s="36">
        <v>16</v>
      </c>
    </row>
    <row r="286" spans="1:8" x14ac:dyDescent="0.3">
      <c r="A286" s="38">
        <v>44289</v>
      </c>
      <c r="B286" s="36"/>
      <c r="C286" s="36">
        <v>6</v>
      </c>
      <c r="D286" s="36">
        <v>6</v>
      </c>
      <c r="E286" s="36"/>
      <c r="F286" s="36"/>
      <c r="G286" s="36"/>
      <c r="H286" s="36">
        <v>6</v>
      </c>
    </row>
    <row r="287" spans="1:8" x14ac:dyDescent="0.3">
      <c r="A287" s="38">
        <v>44290</v>
      </c>
      <c r="B287" s="36"/>
      <c r="C287" s="36">
        <v>17</v>
      </c>
      <c r="D287" s="36">
        <v>17</v>
      </c>
      <c r="E287" s="36"/>
      <c r="F287" s="36"/>
      <c r="G287" s="36"/>
      <c r="H287" s="36">
        <v>17</v>
      </c>
    </row>
    <row r="288" spans="1:8" x14ac:dyDescent="0.3">
      <c r="A288" s="38">
        <v>44293</v>
      </c>
      <c r="B288" s="36"/>
      <c r="C288" s="36"/>
      <c r="D288" s="36"/>
      <c r="E288" s="36"/>
      <c r="F288" s="36">
        <v>9</v>
      </c>
      <c r="G288" s="36">
        <v>9</v>
      </c>
      <c r="H288" s="36">
        <v>9</v>
      </c>
    </row>
    <row r="289" spans="1:8" x14ac:dyDescent="0.3">
      <c r="A289" s="38">
        <v>44294</v>
      </c>
      <c r="B289" s="36">
        <v>4</v>
      </c>
      <c r="C289" s="36"/>
      <c r="D289" s="36">
        <v>4</v>
      </c>
      <c r="E289" s="36">
        <v>10</v>
      </c>
      <c r="F289" s="36">
        <v>10</v>
      </c>
      <c r="G289" s="36">
        <v>20</v>
      </c>
      <c r="H289" s="36">
        <v>24</v>
      </c>
    </row>
    <row r="290" spans="1:8" x14ac:dyDescent="0.3">
      <c r="A290" s="38">
        <v>44295</v>
      </c>
      <c r="B290" s="36">
        <v>4</v>
      </c>
      <c r="C290" s="36"/>
      <c r="D290" s="36">
        <v>4</v>
      </c>
      <c r="E290" s="36"/>
      <c r="F290" s="36"/>
      <c r="G290" s="36"/>
      <c r="H290" s="36">
        <v>4</v>
      </c>
    </row>
    <row r="291" spans="1:8" x14ac:dyDescent="0.3">
      <c r="A291" s="38">
        <v>44296</v>
      </c>
      <c r="B291" s="36">
        <v>12</v>
      </c>
      <c r="C291" s="36"/>
      <c r="D291" s="36">
        <v>12</v>
      </c>
      <c r="E291" s="36"/>
      <c r="F291" s="36"/>
      <c r="G291" s="36"/>
      <c r="H291" s="36">
        <v>12</v>
      </c>
    </row>
    <row r="292" spans="1:8" x14ac:dyDescent="0.3">
      <c r="A292" s="38">
        <v>44298</v>
      </c>
      <c r="B292" s="36"/>
      <c r="C292" s="36">
        <v>7</v>
      </c>
      <c r="D292" s="36">
        <v>7</v>
      </c>
      <c r="E292" s="36"/>
      <c r="F292" s="36">
        <v>27</v>
      </c>
      <c r="G292" s="36">
        <v>27</v>
      </c>
      <c r="H292" s="36">
        <v>34</v>
      </c>
    </row>
    <row r="293" spans="1:8" x14ac:dyDescent="0.3">
      <c r="A293" s="38">
        <v>44301</v>
      </c>
      <c r="B293" s="36">
        <v>12</v>
      </c>
      <c r="C293" s="36"/>
      <c r="D293" s="36">
        <v>12</v>
      </c>
      <c r="E293" s="36"/>
      <c r="F293" s="36"/>
      <c r="G293" s="36"/>
      <c r="H293" s="36">
        <v>12</v>
      </c>
    </row>
    <row r="294" spans="1:8" x14ac:dyDescent="0.3">
      <c r="A294" s="38">
        <v>44302</v>
      </c>
      <c r="B294" s="36"/>
      <c r="C294" s="36"/>
      <c r="D294" s="36"/>
      <c r="E294" s="36"/>
      <c r="F294" s="36">
        <v>9</v>
      </c>
      <c r="G294" s="36">
        <v>9</v>
      </c>
      <c r="H294" s="36">
        <v>9</v>
      </c>
    </row>
    <row r="295" spans="1:8" x14ac:dyDescent="0.3">
      <c r="A295" s="38">
        <v>44304</v>
      </c>
      <c r="B295" s="36"/>
      <c r="C295" s="36">
        <v>12</v>
      </c>
      <c r="D295" s="36">
        <v>12</v>
      </c>
      <c r="E295" s="36"/>
      <c r="F295" s="36">
        <v>20</v>
      </c>
      <c r="G295" s="36">
        <v>20</v>
      </c>
      <c r="H295" s="36">
        <v>32</v>
      </c>
    </row>
    <row r="296" spans="1:8" x14ac:dyDescent="0.3">
      <c r="A296" s="38">
        <v>44308</v>
      </c>
      <c r="B296" s="36">
        <v>7</v>
      </c>
      <c r="C296" s="36"/>
      <c r="D296" s="36">
        <v>7</v>
      </c>
      <c r="E296" s="36"/>
      <c r="F296" s="36">
        <v>1</v>
      </c>
      <c r="G296" s="36">
        <v>1</v>
      </c>
      <c r="H296" s="36">
        <v>8</v>
      </c>
    </row>
    <row r="297" spans="1:8" x14ac:dyDescent="0.3">
      <c r="A297" s="38">
        <v>44309</v>
      </c>
      <c r="B297" s="36">
        <v>5</v>
      </c>
      <c r="C297" s="36"/>
      <c r="D297" s="36">
        <v>5</v>
      </c>
      <c r="E297" s="36"/>
      <c r="F297" s="36">
        <v>12</v>
      </c>
      <c r="G297" s="36">
        <v>12</v>
      </c>
      <c r="H297" s="36">
        <v>17</v>
      </c>
    </row>
    <row r="298" spans="1:8" x14ac:dyDescent="0.3">
      <c r="A298" s="38">
        <v>44310</v>
      </c>
      <c r="B298" s="36"/>
      <c r="C298" s="36">
        <v>2</v>
      </c>
      <c r="D298" s="36">
        <v>2</v>
      </c>
      <c r="E298" s="36"/>
      <c r="F298" s="36"/>
      <c r="G298" s="36"/>
      <c r="H298" s="36">
        <v>2</v>
      </c>
    </row>
    <row r="299" spans="1:8" x14ac:dyDescent="0.3">
      <c r="A299" s="38">
        <v>44311</v>
      </c>
      <c r="B299" s="36"/>
      <c r="C299" s="36">
        <v>14</v>
      </c>
      <c r="D299" s="36">
        <v>14</v>
      </c>
      <c r="E299" s="36"/>
      <c r="F299" s="36"/>
      <c r="G299" s="36"/>
      <c r="H299" s="36">
        <v>14</v>
      </c>
    </row>
    <row r="300" spans="1:8" x14ac:dyDescent="0.3">
      <c r="A300" s="38">
        <v>44312</v>
      </c>
      <c r="B300" s="36"/>
      <c r="C300" s="36"/>
      <c r="D300" s="36"/>
      <c r="E300" s="36">
        <v>9</v>
      </c>
      <c r="F300" s="36"/>
      <c r="G300" s="36">
        <v>9</v>
      </c>
      <c r="H300" s="36">
        <v>9</v>
      </c>
    </row>
    <row r="301" spans="1:8" x14ac:dyDescent="0.3">
      <c r="A301" s="38">
        <v>44314</v>
      </c>
      <c r="B301" s="36">
        <v>10</v>
      </c>
      <c r="C301" s="36"/>
      <c r="D301" s="36">
        <v>10</v>
      </c>
      <c r="E301" s="36"/>
      <c r="F301" s="36"/>
      <c r="G301" s="36"/>
      <c r="H301" s="36">
        <v>10</v>
      </c>
    </row>
    <row r="302" spans="1:8" x14ac:dyDescent="0.3">
      <c r="A302" s="38">
        <v>44315</v>
      </c>
      <c r="B302" s="36"/>
      <c r="C302" s="36"/>
      <c r="D302" s="36"/>
      <c r="E302" s="36">
        <v>8</v>
      </c>
      <c r="F302" s="36"/>
      <c r="G302" s="36">
        <v>8</v>
      </c>
      <c r="H302" s="36">
        <v>8</v>
      </c>
    </row>
    <row r="303" spans="1:8" x14ac:dyDescent="0.3">
      <c r="A303" s="38">
        <v>44316</v>
      </c>
      <c r="B303" s="36"/>
      <c r="C303" s="36">
        <v>11</v>
      </c>
      <c r="D303" s="36">
        <v>11</v>
      </c>
      <c r="E303" s="36"/>
      <c r="F303" s="36">
        <v>6</v>
      </c>
      <c r="G303" s="36">
        <v>6</v>
      </c>
      <c r="H303" s="36">
        <v>17</v>
      </c>
    </row>
    <row r="304" spans="1:8" x14ac:dyDescent="0.3">
      <c r="A304" s="38">
        <v>44317</v>
      </c>
      <c r="B304" s="36"/>
      <c r="C304" s="36"/>
      <c r="D304" s="36"/>
      <c r="E304" s="36">
        <v>9</v>
      </c>
      <c r="F304" s="36"/>
      <c r="G304" s="36">
        <v>9</v>
      </c>
      <c r="H304" s="36">
        <v>9</v>
      </c>
    </row>
    <row r="305" spans="1:8" x14ac:dyDescent="0.3">
      <c r="A305" s="38">
        <v>44318</v>
      </c>
      <c r="B305" s="36">
        <v>4</v>
      </c>
      <c r="C305" s="36"/>
      <c r="D305" s="36">
        <v>4</v>
      </c>
      <c r="E305" s="36"/>
      <c r="F305" s="36"/>
      <c r="G305" s="36"/>
      <c r="H305" s="36">
        <v>4</v>
      </c>
    </row>
    <row r="306" spans="1:8" x14ac:dyDescent="0.3">
      <c r="A306" s="38">
        <v>44319</v>
      </c>
      <c r="B306" s="36"/>
      <c r="C306" s="36">
        <v>20</v>
      </c>
      <c r="D306" s="36">
        <v>20</v>
      </c>
      <c r="E306" s="36"/>
      <c r="F306" s="36">
        <v>1</v>
      </c>
      <c r="G306" s="36">
        <v>1</v>
      </c>
      <c r="H306" s="36">
        <v>21</v>
      </c>
    </row>
    <row r="307" spans="1:8" x14ac:dyDescent="0.3">
      <c r="A307" s="38">
        <v>44321</v>
      </c>
      <c r="B307" s="36"/>
      <c r="C307" s="36">
        <v>11</v>
      </c>
      <c r="D307" s="36">
        <v>11</v>
      </c>
      <c r="E307" s="36"/>
      <c r="F307" s="36"/>
      <c r="G307" s="36"/>
      <c r="H307" s="36">
        <v>11</v>
      </c>
    </row>
    <row r="308" spans="1:8" x14ac:dyDescent="0.3">
      <c r="A308" s="38">
        <v>44322</v>
      </c>
      <c r="B308" s="36"/>
      <c r="C308" s="36">
        <v>9</v>
      </c>
      <c r="D308" s="36">
        <v>9</v>
      </c>
      <c r="E308" s="36">
        <v>7</v>
      </c>
      <c r="F308" s="36">
        <v>18</v>
      </c>
      <c r="G308" s="36">
        <v>25</v>
      </c>
      <c r="H308" s="36">
        <v>34</v>
      </c>
    </row>
    <row r="309" spans="1:8" x14ac:dyDescent="0.3">
      <c r="A309" s="38">
        <v>44323</v>
      </c>
      <c r="B309" s="36"/>
      <c r="C309" s="36"/>
      <c r="D309" s="36"/>
      <c r="E309" s="36"/>
      <c r="F309" s="36">
        <v>3</v>
      </c>
      <c r="G309" s="36">
        <v>3</v>
      </c>
      <c r="H309" s="36">
        <v>3</v>
      </c>
    </row>
    <row r="310" spans="1:8" x14ac:dyDescent="0.3">
      <c r="A310" s="38">
        <v>44326</v>
      </c>
      <c r="B310" s="36">
        <v>10</v>
      </c>
      <c r="C310" s="36">
        <v>8</v>
      </c>
      <c r="D310" s="36">
        <v>18</v>
      </c>
      <c r="E310" s="36">
        <v>2</v>
      </c>
      <c r="F310" s="36">
        <v>8</v>
      </c>
      <c r="G310" s="36">
        <v>10</v>
      </c>
      <c r="H310" s="36">
        <v>28</v>
      </c>
    </row>
    <row r="311" spans="1:8" x14ac:dyDescent="0.3">
      <c r="A311" s="38">
        <v>44328</v>
      </c>
      <c r="B311" s="36">
        <v>15</v>
      </c>
      <c r="C311" s="36">
        <v>14</v>
      </c>
      <c r="D311" s="36">
        <v>29</v>
      </c>
      <c r="E311" s="36"/>
      <c r="F311" s="36"/>
      <c r="G311" s="36"/>
      <c r="H311" s="36">
        <v>29</v>
      </c>
    </row>
    <row r="312" spans="1:8" x14ac:dyDescent="0.3">
      <c r="A312" s="38">
        <v>44329</v>
      </c>
      <c r="B312" s="36">
        <v>15</v>
      </c>
      <c r="C312" s="36"/>
      <c r="D312" s="36">
        <v>15</v>
      </c>
      <c r="E312" s="36"/>
      <c r="F312" s="36">
        <v>12</v>
      </c>
      <c r="G312" s="36">
        <v>12</v>
      </c>
      <c r="H312" s="36">
        <v>27</v>
      </c>
    </row>
    <row r="313" spans="1:8" x14ac:dyDescent="0.3">
      <c r="A313" s="38">
        <v>44331</v>
      </c>
      <c r="B313" s="36"/>
      <c r="C313" s="36"/>
      <c r="D313" s="36"/>
      <c r="E313" s="36"/>
      <c r="F313" s="36">
        <v>2</v>
      </c>
      <c r="G313" s="36">
        <v>2</v>
      </c>
      <c r="H313" s="36">
        <v>2</v>
      </c>
    </row>
    <row r="314" spans="1:8" x14ac:dyDescent="0.3">
      <c r="A314" s="38">
        <v>44333</v>
      </c>
      <c r="B314" s="36"/>
      <c r="C314" s="36">
        <v>11</v>
      </c>
      <c r="D314" s="36">
        <v>11</v>
      </c>
      <c r="E314" s="36"/>
      <c r="F314" s="36">
        <v>14</v>
      </c>
      <c r="G314" s="36">
        <v>14</v>
      </c>
      <c r="H314" s="36">
        <v>25</v>
      </c>
    </row>
    <row r="315" spans="1:8" x14ac:dyDescent="0.3">
      <c r="A315" s="38">
        <v>44335</v>
      </c>
      <c r="B315" s="36">
        <v>17</v>
      </c>
      <c r="C315" s="36">
        <v>8</v>
      </c>
      <c r="D315" s="36">
        <v>25</v>
      </c>
      <c r="E315" s="36"/>
      <c r="F315" s="36"/>
      <c r="G315" s="36"/>
      <c r="H315" s="36">
        <v>25</v>
      </c>
    </row>
    <row r="316" spans="1:8" x14ac:dyDescent="0.3">
      <c r="A316" s="38">
        <v>44336</v>
      </c>
      <c r="B316" s="36">
        <v>13</v>
      </c>
      <c r="C316" s="36">
        <v>8</v>
      </c>
      <c r="D316" s="36">
        <v>21</v>
      </c>
      <c r="E316" s="36"/>
      <c r="F316" s="36">
        <v>13</v>
      </c>
      <c r="G316" s="36">
        <v>13</v>
      </c>
      <c r="H316" s="36">
        <v>34</v>
      </c>
    </row>
    <row r="317" spans="1:8" x14ac:dyDescent="0.3">
      <c r="A317" s="38">
        <v>44337</v>
      </c>
      <c r="B317" s="36"/>
      <c r="C317" s="36"/>
      <c r="D317" s="36"/>
      <c r="E317" s="36"/>
      <c r="F317" s="36">
        <v>6</v>
      </c>
      <c r="G317" s="36">
        <v>6</v>
      </c>
      <c r="H317" s="36">
        <v>6</v>
      </c>
    </row>
    <row r="318" spans="1:8" x14ac:dyDescent="0.3">
      <c r="A318" s="38">
        <v>44339</v>
      </c>
      <c r="B318" s="36">
        <v>2</v>
      </c>
      <c r="C318" s="36">
        <v>7</v>
      </c>
      <c r="D318" s="36">
        <v>9</v>
      </c>
      <c r="E318" s="36"/>
      <c r="F318" s="36"/>
      <c r="G318" s="36"/>
      <c r="H318" s="36">
        <v>9</v>
      </c>
    </row>
    <row r="319" spans="1:8" x14ac:dyDescent="0.3">
      <c r="A319" s="38">
        <v>44340</v>
      </c>
      <c r="B319" s="36"/>
      <c r="C319" s="36"/>
      <c r="D319" s="36"/>
      <c r="E319" s="36"/>
      <c r="F319" s="36">
        <v>7</v>
      </c>
      <c r="G319" s="36">
        <v>7</v>
      </c>
      <c r="H319" s="36">
        <v>7</v>
      </c>
    </row>
    <row r="320" spans="1:8" x14ac:dyDescent="0.3">
      <c r="A320" s="38">
        <v>44342</v>
      </c>
      <c r="B320" s="36">
        <v>49</v>
      </c>
      <c r="C320" s="36"/>
      <c r="D320" s="36">
        <v>49</v>
      </c>
      <c r="E320" s="36"/>
      <c r="F320" s="36"/>
      <c r="G320" s="36"/>
      <c r="H320" s="36">
        <v>49</v>
      </c>
    </row>
    <row r="321" spans="1:8" x14ac:dyDescent="0.3">
      <c r="A321" s="38">
        <v>44343</v>
      </c>
      <c r="B321" s="36">
        <v>4</v>
      </c>
      <c r="C321" s="36"/>
      <c r="D321" s="36">
        <v>4</v>
      </c>
      <c r="E321" s="36">
        <v>20</v>
      </c>
      <c r="F321" s="36">
        <v>9</v>
      </c>
      <c r="G321" s="36">
        <v>29</v>
      </c>
      <c r="H321" s="36">
        <v>33</v>
      </c>
    </row>
    <row r="322" spans="1:8" x14ac:dyDescent="0.3">
      <c r="A322" s="38">
        <v>44345</v>
      </c>
      <c r="B322" s="36">
        <v>13</v>
      </c>
      <c r="C322" s="36"/>
      <c r="D322" s="36">
        <v>13</v>
      </c>
      <c r="E322" s="36">
        <v>17</v>
      </c>
      <c r="F322" s="36"/>
      <c r="G322" s="36">
        <v>17</v>
      </c>
      <c r="H322" s="36">
        <v>30</v>
      </c>
    </row>
    <row r="323" spans="1:8" x14ac:dyDescent="0.3">
      <c r="A323" s="38">
        <v>44346</v>
      </c>
      <c r="B323" s="36"/>
      <c r="C323" s="36"/>
      <c r="D323" s="36"/>
      <c r="E323" s="36"/>
      <c r="F323" s="36">
        <v>9</v>
      </c>
      <c r="G323" s="36">
        <v>9</v>
      </c>
      <c r="H323" s="36">
        <v>9</v>
      </c>
    </row>
    <row r="324" spans="1:8" x14ac:dyDescent="0.3">
      <c r="A324" s="38">
        <v>44347</v>
      </c>
      <c r="B324" s="36">
        <v>8</v>
      </c>
      <c r="C324" s="36">
        <v>21</v>
      </c>
      <c r="D324" s="36">
        <v>29</v>
      </c>
      <c r="E324" s="36"/>
      <c r="F324" s="36">
        <v>20</v>
      </c>
      <c r="G324" s="36">
        <v>20</v>
      </c>
      <c r="H324" s="36">
        <v>49</v>
      </c>
    </row>
    <row r="325" spans="1:8" x14ac:dyDescent="0.3">
      <c r="A325" s="38">
        <v>44349</v>
      </c>
      <c r="B325" s="36"/>
      <c r="C325" s="36"/>
      <c r="D325" s="36"/>
      <c r="E325" s="36"/>
      <c r="F325" s="36">
        <v>3</v>
      </c>
      <c r="G325" s="36">
        <v>3</v>
      </c>
      <c r="H325" s="36">
        <v>3</v>
      </c>
    </row>
    <row r="326" spans="1:8" x14ac:dyDescent="0.3">
      <c r="A326" s="38">
        <v>44350</v>
      </c>
      <c r="B326" s="36">
        <v>18</v>
      </c>
      <c r="C326" s="36"/>
      <c r="D326" s="36">
        <v>18</v>
      </c>
      <c r="E326" s="36"/>
      <c r="F326" s="36">
        <v>10</v>
      </c>
      <c r="G326" s="36">
        <v>10</v>
      </c>
      <c r="H326" s="36">
        <v>28</v>
      </c>
    </row>
    <row r="327" spans="1:8" x14ac:dyDescent="0.3">
      <c r="A327" s="38">
        <v>44353</v>
      </c>
      <c r="B327" s="36">
        <v>6</v>
      </c>
      <c r="C327" s="36">
        <v>2</v>
      </c>
      <c r="D327" s="36">
        <v>8</v>
      </c>
      <c r="E327" s="36"/>
      <c r="F327" s="36"/>
      <c r="G327" s="36"/>
      <c r="H327" s="36">
        <v>8</v>
      </c>
    </row>
    <row r="328" spans="1:8" x14ac:dyDescent="0.3">
      <c r="A328" s="38">
        <v>44356</v>
      </c>
      <c r="B328" s="36">
        <v>7</v>
      </c>
      <c r="C328" s="36"/>
      <c r="D328" s="36">
        <v>7</v>
      </c>
      <c r="E328" s="36"/>
      <c r="F328" s="36"/>
      <c r="G328" s="36"/>
      <c r="H328" s="36">
        <v>7</v>
      </c>
    </row>
    <row r="329" spans="1:8" x14ac:dyDescent="0.3">
      <c r="A329" s="38">
        <v>44357</v>
      </c>
      <c r="B329" s="36">
        <v>3</v>
      </c>
      <c r="C329" s="36"/>
      <c r="D329" s="36">
        <v>3</v>
      </c>
      <c r="E329" s="36"/>
      <c r="F329" s="36"/>
      <c r="G329" s="36"/>
      <c r="H329" s="36">
        <v>3</v>
      </c>
    </row>
    <row r="330" spans="1:8" x14ac:dyDescent="0.3">
      <c r="A330" s="38">
        <v>44359</v>
      </c>
      <c r="B330" s="36"/>
      <c r="C330" s="36"/>
      <c r="D330" s="36"/>
      <c r="E330" s="36">
        <v>8</v>
      </c>
      <c r="F330" s="36">
        <v>9</v>
      </c>
      <c r="G330" s="36">
        <v>17</v>
      </c>
      <c r="H330" s="36">
        <v>17</v>
      </c>
    </row>
    <row r="331" spans="1:8" x14ac:dyDescent="0.3">
      <c r="A331" s="38">
        <v>44360</v>
      </c>
      <c r="B331" s="36"/>
      <c r="C331" s="36">
        <v>11</v>
      </c>
      <c r="D331" s="36">
        <v>11</v>
      </c>
      <c r="E331" s="36"/>
      <c r="F331" s="36">
        <v>11</v>
      </c>
      <c r="G331" s="36">
        <v>11</v>
      </c>
      <c r="H331" s="36">
        <v>22</v>
      </c>
    </row>
    <row r="332" spans="1:8" x14ac:dyDescent="0.3">
      <c r="A332" s="38">
        <v>44364</v>
      </c>
      <c r="B332" s="36"/>
      <c r="C332" s="36">
        <v>11</v>
      </c>
      <c r="D332" s="36">
        <v>11</v>
      </c>
      <c r="E332" s="36">
        <v>11</v>
      </c>
      <c r="F332" s="36">
        <v>1</v>
      </c>
      <c r="G332" s="36">
        <v>12</v>
      </c>
      <c r="H332" s="36">
        <v>23</v>
      </c>
    </row>
    <row r="333" spans="1:8" x14ac:dyDescent="0.3">
      <c r="A333" s="38">
        <v>44366</v>
      </c>
      <c r="B333" s="36">
        <v>4</v>
      </c>
      <c r="C333" s="36">
        <v>1</v>
      </c>
      <c r="D333" s="36">
        <v>5</v>
      </c>
      <c r="E333" s="36"/>
      <c r="F333" s="36"/>
      <c r="G333" s="36"/>
      <c r="H333" s="36">
        <v>5</v>
      </c>
    </row>
    <row r="334" spans="1:8" x14ac:dyDescent="0.3">
      <c r="A334" s="38">
        <v>44368</v>
      </c>
      <c r="B334" s="36">
        <v>12</v>
      </c>
      <c r="C334" s="36">
        <v>7</v>
      </c>
      <c r="D334" s="36">
        <v>19</v>
      </c>
      <c r="E334" s="36"/>
      <c r="F334" s="36"/>
      <c r="G334" s="36"/>
      <c r="H334" s="36">
        <v>19</v>
      </c>
    </row>
    <row r="335" spans="1:8" x14ac:dyDescent="0.3">
      <c r="A335" s="38">
        <v>44371</v>
      </c>
      <c r="B335" s="36">
        <v>19</v>
      </c>
      <c r="C335" s="36"/>
      <c r="D335" s="36">
        <v>19</v>
      </c>
      <c r="E335" s="36"/>
      <c r="F335" s="36"/>
      <c r="G335" s="36"/>
      <c r="H335" s="36">
        <v>19</v>
      </c>
    </row>
    <row r="336" spans="1:8" x14ac:dyDescent="0.3">
      <c r="A336" s="38">
        <v>44372</v>
      </c>
      <c r="B336" s="36">
        <v>20</v>
      </c>
      <c r="C336" s="36">
        <v>16</v>
      </c>
      <c r="D336" s="36">
        <v>36</v>
      </c>
      <c r="E336" s="36"/>
      <c r="F336" s="36">
        <v>8</v>
      </c>
      <c r="G336" s="36">
        <v>8</v>
      </c>
      <c r="H336" s="36">
        <v>44</v>
      </c>
    </row>
    <row r="337" spans="1:8" x14ac:dyDescent="0.3">
      <c r="A337" s="38">
        <v>44373</v>
      </c>
      <c r="B337" s="36"/>
      <c r="C337" s="36"/>
      <c r="D337" s="36"/>
      <c r="E337" s="36"/>
      <c r="F337" s="36">
        <v>15</v>
      </c>
      <c r="G337" s="36">
        <v>15</v>
      </c>
      <c r="H337" s="36">
        <v>15</v>
      </c>
    </row>
    <row r="338" spans="1:8" x14ac:dyDescent="0.3">
      <c r="A338" s="38">
        <v>44374</v>
      </c>
      <c r="B338" s="36"/>
      <c r="C338" s="36"/>
      <c r="D338" s="36"/>
      <c r="E338" s="36"/>
      <c r="F338" s="36">
        <v>16</v>
      </c>
      <c r="G338" s="36">
        <v>16</v>
      </c>
      <c r="H338" s="36">
        <v>16</v>
      </c>
    </row>
    <row r="339" spans="1:8" x14ac:dyDescent="0.3">
      <c r="A339" s="38">
        <v>44375</v>
      </c>
      <c r="B339" s="36">
        <v>11</v>
      </c>
      <c r="C339" s="36"/>
      <c r="D339" s="36">
        <v>11</v>
      </c>
      <c r="E339" s="36"/>
      <c r="F339" s="36"/>
      <c r="G339" s="36"/>
      <c r="H339" s="36">
        <v>11</v>
      </c>
    </row>
    <row r="340" spans="1:8" x14ac:dyDescent="0.3">
      <c r="A340" s="38">
        <v>44377</v>
      </c>
      <c r="B340" s="36">
        <v>2</v>
      </c>
      <c r="C340" s="36">
        <v>15</v>
      </c>
      <c r="D340" s="36">
        <v>17</v>
      </c>
      <c r="E340" s="36"/>
      <c r="F340" s="36"/>
      <c r="G340" s="36"/>
      <c r="H340" s="36">
        <v>17</v>
      </c>
    </row>
    <row r="341" spans="1:8" x14ac:dyDescent="0.3">
      <c r="A341" s="38">
        <v>44378</v>
      </c>
      <c r="B341" s="36"/>
      <c r="C341" s="36">
        <v>9</v>
      </c>
      <c r="D341" s="36">
        <v>9</v>
      </c>
      <c r="E341" s="36"/>
      <c r="F341" s="36">
        <v>12</v>
      </c>
      <c r="G341" s="36">
        <v>12</v>
      </c>
      <c r="H341" s="36">
        <v>21</v>
      </c>
    </row>
    <row r="342" spans="1:8" x14ac:dyDescent="0.3">
      <c r="A342" s="38">
        <v>44379</v>
      </c>
      <c r="B342" s="36"/>
      <c r="C342" s="36"/>
      <c r="D342" s="36"/>
      <c r="E342" s="36"/>
      <c r="F342" s="36">
        <v>10</v>
      </c>
      <c r="G342" s="36">
        <v>10</v>
      </c>
      <c r="H342" s="36">
        <v>10</v>
      </c>
    </row>
    <row r="343" spans="1:8" x14ac:dyDescent="0.3">
      <c r="A343" s="38">
        <v>44380</v>
      </c>
      <c r="B343" s="36">
        <v>4</v>
      </c>
      <c r="C343" s="36"/>
      <c r="D343" s="36">
        <v>4</v>
      </c>
      <c r="E343" s="36"/>
      <c r="F343" s="36">
        <v>13</v>
      </c>
      <c r="G343" s="36">
        <v>13</v>
      </c>
      <c r="H343" s="36">
        <v>17</v>
      </c>
    </row>
    <row r="344" spans="1:8" x14ac:dyDescent="0.3">
      <c r="A344" s="38">
        <v>44382</v>
      </c>
      <c r="B344" s="36">
        <v>8</v>
      </c>
      <c r="C344" s="36"/>
      <c r="D344" s="36">
        <v>8</v>
      </c>
      <c r="E344" s="36"/>
      <c r="F344" s="36"/>
      <c r="G344" s="36"/>
      <c r="H344" s="36">
        <v>8</v>
      </c>
    </row>
    <row r="345" spans="1:8" x14ac:dyDescent="0.3">
      <c r="A345" s="38">
        <v>44384</v>
      </c>
      <c r="B345" s="36">
        <v>32</v>
      </c>
      <c r="C345" s="36">
        <v>3</v>
      </c>
      <c r="D345" s="36">
        <v>35</v>
      </c>
      <c r="E345" s="36"/>
      <c r="F345" s="36"/>
      <c r="G345" s="36"/>
      <c r="H345" s="36">
        <v>35</v>
      </c>
    </row>
    <row r="346" spans="1:8" x14ac:dyDescent="0.3">
      <c r="A346" s="38">
        <v>44385</v>
      </c>
      <c r="B346" s="36"/>
      <c r="C346" s="36"/>
      <c r="D346" s="36"/>
      <c r="E346" s="36">
        <v>5</v>
      </c>
      <c r="F346" s="36">
        <v>34</v>
      </c>
      <c r="G346" s="36">
        <v>39</v>
      </c>
      <c r="H346" s="36">
        <v>39</v>
      </c>
    </row>
    <row r="347" spans="1:8" x14ac:dyDescent="0.3">
      <c r="A347" s="38">
        <v>44386</v>
      </c>
      <c r="B347" s="36"/>
      <c r="C347" s="36"/>
      <c r="D347" s="36"/>
      <c r="E347" s="36">
        <v>6</v>
      </c>
      <c r="F347" s="36"/>
      <c r="G347" s="36">
        <v>6</v>
      </c>
      <c r="H347" s="36">
        <v>6</v>
      </c>
    </row>
    <row r="348" spans="1:8" x14ac:dyDescent="0.3">
      <c r="A348" s="38">
        <v>44387</v>
      </c>
      <c r="B348" s="36"/>
      <c r="C348" s="36">
        <v>15</v>
      </c>
      <c r="D348" s="36">
        <v>15</v>
      </c>
      <c r="E348" s="36"/>
      <c r="F348" s="36"/>
      <c r="G348" s="36"/>
      <c r="H348" s="36">
        <v>15</v>
      </c>
    </row>
    <row r="349" spans="1:8" x14ac:dyDescent="0.3">
      <c r="A349" s="38">
        <v>44388</v>
      </c>
      <c r="B349" s="36"/>
      <c r="C349" s="36">
        <v>7</v>
      </c>
      <c r="D349" s="36">
        <v>7</v>
      </c>
      <c r="E349" s="36"/>
      <c r="F349" s="36">
        <v>4</v>
      </c>
      <c r="G349" s="36">
        <v>4</v>
      </c>
      <c r="H349" s="36">
        <v>11</v>
      </c>
    </row>
    <row r="350" spans="1:8" x14ac:dyDescent="0.3">
      <c r="A350" s="38">
        <v>44389</v>
      </c>
      <c r="B350" s="36"/>
      <c r="C350" s="36">
        <v>13</v>
      </c>
      <c r="D350" s="36">
        <v>13</v>
      </c>
      <c r="E350" s="36"/>
      <c r="F350" s="36"/>
      <c r="G350" s="36"/>
      <c r="H350" s="36">
        <v>13</v>
      </c>
    </row>
    <row r="351" spans="1:8" x14ac:dyDescent="0.3">
      <c r="A351" s="38">
        <v>44392</v>
      </c>
      <c r="B351" s="36"/>
      <c r="C351" s="36">
        <v>3</v>
      </c>
      <c r="D351" s="36">
        <v>3</v>
      </c>
      <c r="E351" s="36"/>
      <c r="F351" s="36">
        <v>20</v>
      </c>
      <c r="G351" s="36">
        <v>20</v>
      </c>
      <c r="H351" s="36">
        <v>23</v>
      </c>
    </row>
    <row r="352" spans="1:8" x14ac:dyDescent="0.3">
      <c r="A352" s="38">
        <v>44393</v>
      </c>
      <c r="B352" s="36"/>
      <c r="C352" s="36">
        <v>4</v>
      </c>
      <c r="D352" s="36">
        <v>4</v>
      </c>
      <c r="E352" s="36"/>
      <c r="F352" s="36">
        <v>15</v>
      </c>
      <c r="G352" s="36">
        <v>15</v>
      </c>
      <c r="H352" s="36">
        <v>19</v>
      </c>
    </row>
    <row r="353" spans="1:8" x14ac:dyDescent="0.3">
      <c r="A353" s="38">
        <v>44394</v>
      </c>
      <c r="B353" s="36">
        <v>12</v>
      </c>
      <c r="C353" s="36">
        <v>2</v>
      </c>
      <c r="D353" s="36">
        <v>14</v>
      </c>
      <c r="E353" s="36"/>
      <c r="F353" s="36"/>
      <c r="G353" s="36"/>
      <c r="H353" s="36">
        <v>14</v>
      </c>
    </row>
    <row r="354" spans="1:8" x14ac:dyDescent="0.3">
      <c r="A354" s="38">
        <v>44395</v>
      </c>
      <c r="B354" s="36">
        <v>3</v>
      </c>
      <c r="C354" s="36">
        <v>5</v>
      </c>
      <c r="D354" s="36">
        <v>8</v>
      </c>
      <c r="E354" s="36"/>
      <c r="F354" s="36"/>
      <c r="G354" s="36"/>
      <c r="H354" s="36">
        <v>8</v>
      </c>
    </row>
    <row r="355" spans="1:8" x14ac:dyDescent="0.3">
      <c r="A355" s="38">
        <v>44396</v>
      </c>
      <c r="B355" s="36">
        <v>3</v>
      </c>
      <c r="C355" s="36"/>
      <c r="D355" s="36">
        <v>3</v>
      </c>
      <c r="E355" s="36"/>
      <c r="F355" s="36"/>
      <c r="G355" s="36"/>
      <c r="H355" s="36">
        <v>3</v>
      </c>
    </row>
    <row r="356" spans="1:8" x14ac:dyDescent="0.3">
      <c r="A356" s="38">
        <v>44400</v>
      </c>
      <c r="B356" s="36"/>
      <c r="C356" s="36">
        <v>2</v>
      </c>
      <c r="D356" s="36">
        <v>2</v>
      </c>
      <c r="E356" s="36"/>
      <c r="F356" s="36">
        <v>2</v>
      </c>
      <c r="G356" s="36">
        <v>2</v>
      </c>
      <c r="H356" s="36">
        <v>4</v>
      </c>
    </row>
    <row r="357" spans="1:8" x14ac:dyDescent="0.3">
      <c r="A357" s="38">
        <v>44401</v>
      </c>
      <c r="B357" s="36"/>
      <c r="C357" s="36"/>
      <c r="D357" s="36"/>
      <c r="E357" s="36"/>
      <c r="F357" s="36">
        <v>2</v>
      </c>
      <c r="G357" s="36">
        <v>2</v>
      </c>
      <c r="H357" s="36">
        <v>2</v>
      </c>
    </row>
    <row r="358" spans="1:8" x14ac:dyDescent="0.3">
      <c r="A358" s="38">
        <v>44402</v>
      </c>
      <c r="B358" s="36"/>
      <c r="C358" s="36"/>
      <c r="D358" s="36"/>
      <c r="E358" s="36"/>
      <c r="F358" s="36">
        <v>6</v>
      </c>
      <c r="G358" s="36">
        <v>6</v>
      </c>
      <c r="H358" s="36">
        <v>6</v>
      </c>
    </row>
    <row r="359" spans="1:8" x14ac:dyDescent="0.3">
      <c r="A359" s="38">
        <v>44403</v>
      </c>
      <c r="B359" s="36">
        <v>17</v>
      </c>
      <c r="C359" s="36"/>
      <c r="D359" s="36">
        <v>17</v>
      </c>
      <c r="E359" s="36"/>
      <c r="F359" s="36"/>
      <c r="G359" s="36"/>
      <c r="H359" s="36">
        <v>17</v>
      </c>
    </row>
    <row r="360" spans="1:8" x14ac:dyDescent="0.3">
      <c r="A360" s="38">
        <v>44405</v>
      </c>
      <c r="B360" s="36"/>
      <c r="C360" s="36">
        <v>10</v>
      </c>
      <c r="D360" s="36">
        <v>10</v>
      </c>
      <c r="E360" s="36"/>
      <c r="F360" s="36">
        <v>14</v>
      </c>
      <c r="G360" s="36">
        <v>14</v>
      </c>
      <c r="H360" s="36">
        <v>24</v>
      </c>
    </row>
    <row r="361" spans="1:8" x14ac:dyDescent="0.3">
      <c r="A361" s="38">
        <v>44406</v>
      </c>
      <c r="B361" s="36">
        <v>10</v>
      </c>
      <c r="C361" s="36">
        <v>9</v>
      </c>
      <c r="D361" s="36">
        <v>19</v>
      </c>
      <c r="E361" s="36"/>
      <c r="F361" s="36"/>
      <c r="G361" s="36"/>
      <c r="H361" s="36">
        <v>19</v>
      </c>
    </row>
    <row r="362" spans="1:8" x14ac:dyDescent="0.3">
      <c r="A362" s="38">
        <v>44408</v>
      </c>
      <c r="B362" s="36"/>
      <c r="C362" s="36"/>
      <c r="D362" s="36"/>
      <c r="E362" s="36"/>
      <c r="F362" s="36">
        <v>8</v>
      </c>
      <c r="G362" s="36">
        <v>8</v>
      </c>
      <c r="H362" s="36">
        <v>8</v>
      </c>
    </row>
    <row r="363" spans="1:8" x14ac:dyDescent="0.3">
      <c r="A363" s="38">
        <v>44409</v>
      </c>
      <c r="B363" s="36"/>
      <c r="C363" s="36">
        <v>9</v>
      </c>
      <c r="D363" s="36">
        <v>9</v>
      </c>
      <c r="E363" s="36"/>
      <c r="F363" s="36"/>
      <c r="G363" s="36"/>
      <c r="H363" s="36">
        <v>9</v>
      </c>
    </row>
    <row r="364" spans="1:8" x14ac:dyDescent="0.3">
      <c r="A364" s="38">
        <v>44410</v>
      </c>
      <c r="B364" s="36">
        <v>7</v>
      </c>
      <c r="C364" s="36"/>
      <c r="D364" s="36">
        <v>7</v>
      </c>
      <c r="E364" s="36"/>
      <c r="F364" s="36">
        <v>5</v>
      </c>
      <c r="G364" s="36">
        <v>5</v>
      </c>
      <c r="H364" s="36">
        <v>12</v>
      </c>
    </row>
    <row r="365" spans="1:8" x14ac:dyDescent="0.3">
      <c r="A365" s="38">
        <v>44412</v>
      </c>
      <c r="B365" s="36"/>
      <c r="C365" s="36">
        <v>8</v>
      </c>
      <c r="D365" s="36">
        <v>8</v>
      </c>
      <c r="E365" s="36"/>
      <c r="F365" s="36"/>
      <c r="G365" s="36"/>
      <c r="H365" s="36">
        <v>8</v>
      </c>
    </row>
    <row r="366" spans="1:8" x14ac:dyDescent="0.3">
      <c r="A366" s="38">
        <v>44413</v>
      </c>
      <c r="B366" s="36"/>
      <c r="C366" s="36">
        <v>5</v>
      </c>
      <c r="D366" s="36">
        <v>5</v>
      </c>
      <c r="E366" s="36"/>
      <c r="F366" s="36">
        <v>10</v>
      </c>
      <c r="G366" s="36">
        <v>10</v>
      </c>
      <c r="H366" s="36">
        <v>15</v>
      </c>
    </row>
    <row r="367" spans="1:8" x14ac:dyDescent="0.3">
      <c r="A367" s="38">
        <v>44415</v>
      </c>
      <c r="B367" s="36"/>
      <c r="C367" s="36"/>
      <c r="D367" s="36"/>
      <c r="E367" s="36"/>
      <c r="F367" s="36">
        <v>13</v>
      </c>
      <c r="G367" s="36">
        <v>13</v>
      </c>
      <c r="H367" s="36">
        <v>13</v>
      </c>
    </row>
    <row r="368" spans="1:8" x14ac:dyDescent="0.3">
      <c r="A368" s="38">
        <v>44416</v>
      </c>
      <c r="B368" s="36"/>
      <c r="C368" s="36">
        <v>16</v>
      </c>
      <c r="D368" s="36">
        <v>16</v>
      </c>
      <c r="E368" s="36"/>
      <c r="F368" s="36"/>
      <c r="G368" s="36"/>
      <c r="H368" s="36">
        <v>16</v>
      </c>
    </row>
    <row r="369" spans="1:8" x14ac:dyDescent="0.3">
      <c r="A369" s="38">
        <v>44417</v>
      </c>
      <c r="B369" s="36"/>
      <c r="C369" s="36">
        <v>5</v>
      </c>
      <c r="D369" s="36">
        <v>5</v>
      </c>
      <c r="E369" s="36">
        <v>8</v>
      </c>
      <c r="F369" s="36"/>
      <c r="G369" s="36">
        <v>8</v>
      </c>
      <c r="H369" s="36">
        <v>13</v>
      </c>
    </row>
    <row r="370" spans="1:8" x14ac:dyDescent="0.3">
      <c r="A370" s="38">
        <v>44420</v>
      </c>
      <c r="B370" s="36">
        <v>12</v>
      </c>
      <c r="C370" s="36"/>
      <c r="D370" s="36">
        <v>12</v>
      </c>
      <c r="E370" s="36">
        <v>11</v>
      </c>
      <c r="F370" s="36">
        <v>27</v>
      </c>
      <c r="G370" s="36">
        <v>38</v>
      </c>
      <c r="H370" s="36">
        <v>50</v>
      </c>
    </row>
    <row r="371" spans="1:8" x14ac:dyDescent="0.3">
      <c r="A371" s="38">
        <v>44421</v>
      </c>
      <c r="B371" s="36">
        <v>7</v>
      </c>
      <c r="C371" s="36"/>
      <c r="D371" s="36">
        <v>7</v>
      </c>
      <c r="E371" s="36"/>
      <c r="F371" s="36">
        <v>8</v>
      </c>
      <c r="G371" s="36">
        <v>8</v>
      </c>
      <c r="H371" s="36">
        <v>15</v>
      </c>
    </row>
    <row r="372" spans="1:8" x14ac:dyDescent="0.3">
      <c r="A372" s="38">
        <v>44423</v>
      </c>
      <c r="B372" s="36">
        <v>29</v>
      </c>
      <c r="C372" s="36"/>
      <c r="D372" s="36">
        <v>29</v>
      </c>
      <c r="E372" s="36"/>
      <c r="F372" s="36"/>
      <c r="G372" s="36"/>
      <c r="H372" s="36">
        <v>29</v>
      </c>
    </row>
    <row r="373" spans="1:8" x14ac:dyDescent="0.3">
      <c r="A373" s="38">
        <v>44424</v>
      </c>
      <c r="B373" s="36">
        <v>27</v>
      </c>
      <c r="C373" s="36"/>
      <c r="D373" s="36">
        <v>27</v>
      </c>
      <c r="E373" s="36">
        <v>8</v>
      </c>
      <c r="F373" s="36"/>
      <c r="G373" s="36">
        <v>8</v>
      </c>
      <c r="H373" s="36">
        <v>35</v>
      </c>
    </row>
    <row r="374" spans="1:8" x14ac:dyDescent="0.3">
      <c r="A374" s="38">
        <v>44427</v>
      </c>
      <c r="B374" s="36"/>
      <c r="C374" s="36">
        <v>8</v>
      </c>
      <c r="D374" s="36">
        <v>8</v>
      </c>
      <c r="E374" s="36"/>
      <c r="F374" s="36">
        <v>13</v>
      </c>
      <c r="G374" s="36">
        <v>13</v>
      </c>
      <c r="H374" s="36">
        <v>21</v>
      </c>
    </row>
    <row r="375" spans="1:8" x14ac:dyDescent="0.3">
      <c r="A375" s="38">
        <v>44428</v>
      </c>
      <c r="B375" s="36">
        <v>13</v>
      </c>
      <c r="C375" s="36"/>
      <c r="D375" s="36">
        <v>13</v>
      </c>
      <c r="E375" s="36"/>
      <c r="F375" s="36">
        <v>2</v>
      </c>
      <c r="G375" s="36">
        <v>2</v>
      </c>
      <c r="H375" s="36">
        <v>15</v>
      </c>
    </row>
    <row r="376" spans="1:8" x14ac:dyDescent="0.3">
      <c r="A376" s="38">
        <v>44430</v>
      </c>
      <c r="B376" s="36"/>
      <c r="C376" s="36">
        <v>1</v>
      </c>
      <c r="D376" s="36">
        <v>1</v>
      </c>
      <c r="E376" s="36"/>
      <c r="F376" s="36"/>
      <c r="G376" s="36"/>
      <c r="H376" s="36">
        <v>1</v>
      </c>
    </row>
    <row r="377" spans="1:8" x14ac:dyDescent="0.3">
      <c r="A377" s="38">
        <v>44431</v>
      </c>
      <c r="B377" s="36"/>
      <c r="C377" s="36">
        <v>1</v>
      </c>
      <c r="D377" s="36">
        <v>1</v>
      </c>
      <c r="E377" s="36"/>
      <c r="F377" s="36"/>
      <c r="G377" s="36"/>
      <c r="H377" s="36">
        <v>1</v>
      </c>
    </row>
    <row r="378" spans="1:8" x14ac:dyDescent="0.3">
      <c r="A378" s="38">
        <v>44433</v>
      </c>
      <c r="B378" s="36"/>
      <c r="C378" s="36"/>
      <c r="D378" s="36"/>
      <c r="E378" s="36">
        <v>8</v>
      </c>
      <c r="F378" s="36"/>
      <c r="G378" s="36">
        <v>8</v>
      </c>
      <c r="H378" s="36">
        <v>8</v>
      </c>
    </row>
    <row r="379" spans="1:8" x14ac:dyDescent="0.3">
      <c r="A379" s="38">
        <v>44434</v>
      </c>
      <c r="B379" s="36"/>
      <c r="C379" s="36"/>
      <c r="D379" s="36"/>
      <c r="E379" s="36"/>
      <c r="F379" s="36">
        <v>10</v>
      </c>
      <c r="G379" s="36">
        <v>10</v>
      </c>
      <c r="H379" s="36">
        <v>10</v>
      </c>
    </row>
    <row r="380" spans="1:8" x14ac:dyDescent="0.3">
      <c r="A380" s="38">
        <v>44435</v>
      </c>
      <c r="B380" s="36"/>
      <c r="C380" s="36"/>
      <c r="D380" s="36"/>
      <c r="E380" s="36">
        <v>15</v>
      </c>
      <c r="F380" s="36"/>
      <c r="G380" s="36">
        <v>15</v>
      </c>
      <c r="H380" s="36">
        <v>15</v>
      </c>
    </row>
    <row r="381" spans="1:8" x14ac:dyDescent="0.3">
      <c r="A381" s="38">
        <v>44436</v>
      </c>
      <c r="B381" s="36"/>
      <c r="C381" s="36">
        <v>13</v>
      </c>
      <c r="D381" s="36">
        <v>13</v>
      </c>
      <c r="E381" s="36"/>
      <c r="F381" s="36">
        <v>12</v>
      </c>
      <c r="G381" s="36">
        <v>12</v>
      </c>
      <c r="H381" s="36">
        <v>25</v>
      </c>
    </row>
    <row r="382" spans="1:8" x14ac:dyDescent="0.3">
      <c r="A382" s="38">
        <v>44437</v>
      </c>
      <c r="B382" s="36"/>
      <c r="C382" s="36">
        <v>5</v>
      </c>
      <c r="D382" s="36">
        <v>5</v>
      </c>
      <c r="E382" s="36"/>
      <c r="F382" s="36"/>
      <c r="G382" s="36"/>
      <c r="H382" s="36">
        <v>5</v>
      </c>
    </row>
    <row r="383" spans="1:8" x14ac:dyDescent="0.3">
      <c r="A383" s="38">
        <v>44438</v>
      </c>
      <c r="B383" s="36"/>
      <c r="C383" s="36"/>
      <c r="D383" s="36"/>
      <c r="E383" s="36"/>
      <c r="F383" s="36">
        <v>7</v>
      </c>
      <c r="G383" s="36">
        <v>7</v>
      </c>
      <c r="H383" s="36">
        <v>7</v>
      </c>
    </row>
    <row r="384" spans="1:8" x14ac:dyDescent="0.3">
      <c r="A384" s="38">
        <v>44441</v>
      </c>
      <c r="B384" s="36"/>
      <c r="C384" s="36">
        <v>5</v>
      </c>
      <c r="D384" s="36">
        <v>5</v>
      </c>
      <c r="E384" s="36"/>
      <c r="F384" s="36"/>
      <c r="G384" s="36"/>
      <c r="H384" s="36">
        <v>5</v>
      </c>
    </row>
    <row r="385" spans="1:8" x14ac:dyDescent="0.3">
      <c r="A385" s="38">
        <v>44442</v>
      </c>
      <c r="B385" s="36"/>
      <c r="C385" s="36">
        <v>10</v>
      </c>
      <c r="D385" s="36">
        <v>10</v>
      </c>
      <c r="E385" s="36"/>
      <c r="F385" s="36"/>
      <c r="G385" s="36"/>
      <c r="H385" s="36">
        <v>10</v>
      </c>
    </row>
    <row r="386" spans="1:8" x14ac:dyDescent="0.3">
      <c r="A386" s="38">
        <v>44443</v>
      </c>
      <c r="B386" s="36"/>
      <c r="C386" s="36">
        <v>7</v>
      </c>
      <c r="D386" s="36">
        <v>7</v>
      </c>
      <c r="E386" s="36"/>
      <c r="F386" s="36"/>
      <c r="G386" s="36"/>
      <c r="H386" s="36">
        <v>7</v>
      </c>
    </row>
    <row r="387" spans="1:8" x14ac:dyDescent="0.3">
      <c r="A387" s="38">
        <v>44444</v>
      </c>
      <c r="B387" s="36"/>
      <c r="C387" s="36"/>
      <c r="D387" s="36"/>
      <c r="E387" s="36"/>
      <c r="F387" s="36">
        <v>13</v>
      </c>
      <c r="G387" s="36">
        <v>13</v>
      </c>
      <c r="H387" s="36">
        <v>13</v>
      </c>
    </row>
    <row r="388" spans="1:8" x14ac:dyDescent="0.3">
      <c r="A388" s="38">
        <v>44445</v>
      </c>
      <c r="B388" s="36">
        <v>7</v>
      </c>
      <c r="C388" s="36"/>
      <c r="D388" s="36">
        <v>7</v>
      </c>
      <c r="E388" s="36">
        <v>3</v>
      </c>
      <c r="F388" s="36"/>
      <c r="G388" s="36">
        <v>3</v>
      </c>
      <c r="H388" s="36">
        <v>10</v>
      </c>
    </row>
    <row r="389" spans="1:8" x14ac:dyDescent="0.3">
      <c r="A389" s="38">
        <v>44448</v>
      </c>
      <c r="B389" s="36">
        <v>16</v>
      </c>
      <c r="C389" s="36">
        <v>7</v>
      </c>
      <c r="D389" s="36">
        <v>23</v>
      </c>
      <c r="E389" s="36">
        <v>23</v>
      </c>
      <c r="F389" s="36">
        <v>9</v>
      </c>
      <c r="G389" s="36">
        <v>32</v>
      </c>
      <c r="H389" s="36">
        <v>55</v>
      </c>
    </row>
    <row r="390" spans="1:8" x14ac:dyDescent="0.3">
      <c r="A390" s="38">
        <v>44454</v>
      </c>
      <c r="B390" s="36"/>
      <c r="C390" s="36">
        <v>7</v>
      </c>
      <c r="D390" s="36">
        <v>7</v>
      </c>
      <c r="E390" s="36">
        <v>13</v>
      </c>
      <c r="F390" s="36">
        <v>15</v>
      </c>
      <c r="G390" s="36">
        <v>28</v>
      </c>
      <c r="H390" s="36">
        <v>35</v>
      </c>
    </row>
    <row r="391" spans="1:8" x14ac:dyDescent="0.3">
      <c r="A391" s="38">
        <v>44456</v>
      </c>
      <c r="B391" s="36"/>
      <c r="C391" s="36"/>
      <c r="D391" s="36"/>
      <c r="E391" s="36">
        <v>1</v>
      </c>
      <c r="F391" s="36"/>
      <c r="G391" s="36">
        <v>1</v>
      </c>
      <c r="H391" s="36">
        <v>1</v>
      </c>
    </row>
    <row r="392" spans="1:8" x14ac:dyDescent="0.3">
      <c r="A392" s="38">
        <v>44457</v>
      </c>
      <c r="B392" s="36">
        <v>42</v>
      </c>
      <c r="C392" s="36"/>
      <c r="D392" s="36">
        <v>42</v>
      </c>
      <c r="E392" s="36"/>
      <c r="F392" s="36"/>
      <c r="G392" s="36"/>
      <c r="H392" s="36">
        <v>42</v>
      </c>
    </row>
    <row r="393" spans="1:8" x14ac:dyDescent="0.3">
      <c r="A393" s="38">
        <v>44462</v>
      </c>
      <c r="B393" s="36"/>
      <c r="C393" s="36">
        <v>26</v>
      </c>
      <c r="D393" s="36">
        <v>26</v>
      </c>
      <c r="E393" s="36"/>
      <c r="F393" s="36">
        <v>20</v>
      </c>
      <c r="G393" s="36">
        <v>20</v>
      </c>
      <c r="H393" s="36">
        <v>46</v>
      </c>
    </row>
    <row r="394" spans="1:8" x14ac:dyDescent="0.3">
      <c r="A394" s="38">
        <v>44463</v>
      </c>
      <c r="B394" s="36">
        <v>10</v>
      </c>
      <c r="C394" s="36"/>
      <c r="D394" s="36">
        <v>10</v>
      </c>
      <c r="E394" s="36">
        <v>19</v>
      </c>
      <c r="F394" s="36"/>
      <c r="G394" s="36">
        <v>19</v>
      </c>
      <c r="H394" s="36">
        <v>29</v>
      </c>
    </row>
    <row r="395" spans="1:8" x14ac:dyDescent="0.3">
      <c r="A395" s="38">
        <v>44464</v>
      </c>
      <c r="B395" s="36">
        <v>6</v>
      </c>
      <c r="C395" s="36"/>
      <c r="D395" s="36">
        <v>6</v>
      </c>
      <c r="E395" s="36"/>
      <c r="F395" s="36"/>
      <c r="G395" s="36"/>
      <c r="H395" s="36">
        <v>6</v>
      </c>
    </row>
    <row r="396" spans="1:8" x14ac:dyDescent="0.3">
      <c r="A396" s="38">
        <v>44465</v>
      </c>
      <c r="B396" s="36"/>
      <c r="C396" s="36">
        <v>7</v>
      </c>
      <c r="D396" s="36">
        <v>7</v>
      </c>
      <c r="E396" s="36"/>
      <c r="F396" s="36"/>
      <c r="G396" s="36"/>
      <c r="H396" s="36">
        <v>7</v>
      </c>
    </row>
    <row r="397" spans="1:8" x14ac:dyDescent="0.3">
      <c r="A397" s="38">
        <v>44468</v>
      </c>
      <c r="B397" s="36"/>
      <c r="C397" s="36">
        <v>13</v>
      </c>
      <c r="D397" s="36">
        <v>13</v>
      </c>
      <c r="E397" s="36">
        <v>10</v>
      </c>
      <c r="F397" s="36"/>
      <c r="G397" s="36">
        <v>10</v>
      </c>
      <c r="H397" s="36">
        <v>23</v>
      </c>
    </row>
    <row r="398" spans="1:8" x14ac:dyDescent="0.3">
      <c r="A398" s="38">
        <v>44469</v>
      </c>
      <c r="B398" s="36"/>
      <c r="C398" s="36"/>
      <c r="D398" s="36"/>
      <c r="E398" s="36"/>
      <c r="F398" s="36">
        <v>28</v>
      </c>
      <c r="G398" s="36">
        <v>28</v>
      </c>
      <c r="H398" s="36">
        <v>28</v>
      </c>
    </row>
    <row r="399" spans="1:8" x14ac:dyDescent="0.3">
      <c r="A399" s="38">
        <v>44470</v>
      </c>
      <c r="B399" s="36"/>
      <c r="C399" s="36">
        <v>4</v>
      </c>
      <c r="D399" s="36">
        <v>4</v>
      </c>
      <c r="E399" s="36"/>
      <c r="F399" s="36">
        <v>22</v>
      </c>
      <c r="G399" s="36">
        <v>22</v>
      </c>
      <c r="H399" s="36">
        <v>26</v>
      </c>
    </row>
    <row r="400" spans="1:8" x14ac:dyDescent="0.3">
      <c r="A400" s="38">
        <v>44471</v>
      </c>
      <c r="B400" s="36"/>
      <c r="C400" s="36">
        <v>9</v>
      </c>
      <c r="D400" s="36">
        <v>9</v>
      </c>
      <c r="E400" s="36"/>
      <c r="F400" s="36"/>
      <c r="G400" s="36"/>
      <c r="H400" s="36">
        <v>9</v>
      </c>
    </row>
    <row r="401" spans="1:8" x14ac:dyDescent="0.3">
      <c r="A401" s="38">
        <v>44472</v>
      </c>
      <c r="B401" s="36">
        <v>9</v>
      </c>
      <c r="C401" s="36"/>
      <c r="D401" s="36">
        <v>9</v>
      </c>
      <c r="E401" s="36"/>
      <c r="F401" s="36">
        <v>19</v>
      </c>
      <c r="G401" s="36">
        <v>19</v>
      </c>
      <c r="H401" s="36">
        <v>28</v>
      </c>
    </row>
    <row r="402" spans="1:8" x14ac:dyDescent="0.3">
      <c r="A402" s="38">
        <v>44475</v>
      </c>
      <c r="B402" s="36"/>
      <c r="C402" s="36"/>
      <c r="D402" s="36"/>
      <c r="E402" s="36"/>
      <c r="F402" s="36">
        <v>14</v>
      </c>
      <c r="G402" s="36">
        <v>14</v>
      </c>
      <c r="H402" s="36">
        <v>14</v>
      </c>
    </row>
    <row r="403" spans="1:8" x14ac:dyDescent="0.3">
      <c r="A403" s="38">
        <v>44476</v>
      </c>
      <c r="B403" s="36">
        <v>12</v>
      </c>
      <c r="C403" s="36"/>
      <c r="D403" s="36">
        <v>12</v>
      </c>
      <c r="E403" s="36"/>
      <c r="F403" s="36">
        <v>17</v>
      </c>
      <c r="G403" s="36">
        <v>17</v>
      </c>
      <c r="H403" s="36">
        <v>29</v>
      </c>
    </row>
    <row r="404" spans="1:8" x14ac:dyDescent="0.3">
      <c r="A404" s="38">
        <v>44477</v>
      </c>
      <c r="B404" s="36"/>
      <c r="C404" s="36">
        <v>6</v>
      </c>
      <c r="D404" s="36">
        <v>6</v>
      </c>
      <c r="E404" s="36">
        <v>30</v>
      </c>
      <c r="F404" s="36"/>
      <c r="G404" s="36">
        <v>30</v>
      </c>
      <c r="H404" s="36">
        <v>36</v>
      </c>
    </row>
    <row r="405" spans="1:8" x14ac:dyDescent="0.3">
      <c r="A405" s="38">
        <v>44478</v>
      </c>
      <c r="B405" s="36"/>
      <c r="C405" s="36">
        <v>12</v>
      </c>
      <c r="D405" s="36">
        <v>12</v>
      </c>
      <c r="E405" s="36"/>
      <c r="F405" s="36"/>
      <c r="G405" s="36"/>
      <c r="H405" s="36">
        <v>12</v>
      </c>
    </row>
    <row r="406" spans="1:8" x14ac:dyDescent="0.3">
      <c r="A406" s="38">
        <v>44479</v>
      </c>
      <c r="B406" s="36">
        <v>8</v>
      </c>
      <c r="C406" s="36"/>
      <c r="D406" s="36">
        <v>8</v>
      </c>
      <c r="E406" s="36"/>
      <c r="F406" s="36"/>
      <c r="G406" s="36"/>
      <c r="H406" s="36">
        <v>8</v>
      </c>
    </row>
    <row r="407" spans="1:8" x14ac:dyDescent="0.3">
      <c r="A407" s="38">
        <v>44480</v>
      </c>
      <c r="B407" s="36"/>
      <c r="C407" s="36">
        <v>10</v>
      </c>
      <c r="D407" s="36">
        <v>10</v>
      </c>
      <c r="E407" s="36"/>
      <c r="F407" s="36"/>
      <c r="G407" s="36"/>
      <c r="H407" s="36">
        <v>10</v>
      </c>
    </row>
    <row r="408" spans="1:8" x14ac:dyDescent="0.3">
      <c r="A408" s="38">
        <v>44482</v>
      </c>
      <c r="B408" s="36"/>
      <c r="C408" s="36">
        <v>4</v>
      </c>
      <c r="D408" s="36">
        <v>4</v>
      </c>
      <c r="E408" s="36"/>
      <c r="F408" s="36">
        <v>1</v>
      </c>
      <c r="G408" s="36">
        <v>1</v>
      </c>
      <c r="H408" s="36">
        <v>5</v>
      </c>
    </row>
    <row r="409" spans="1:8" x14ac:dyDescent="0.3">
      <c r="A409" s="38">
        <v>44483</v>
      </c>
      <c r="B409" s="36">
        <v>3</v>
      </c>
      <c r="C409" s="36"/>
      <c r="D409" s="36">
        <v>3</v>
      </c>
      <c r="E409" s="36"/>
      <c r="F409" s="36"/>
      <c r="G409" s="36"/>
      <c r="H409" s="36">
        <v>3</v>
      </c>
    </row>
    <row r="410" spans="1:8" x14ac:dyDescent="0.3">
      <c r="A410" s="38">
        <v>44487</v>
      </c>
      <c r="B410" s="36"/>
      <c r="C410" s="36"/>
      <c r="D410" s="36"/>
      <c r="E410" s="36"/>
      <c r="F410" s="36">
        <v>8</v>
      </c>
      <c r="G410" s="36">
        <v>8</v>
      </c>
      <c r="H410" s="36">
        <v>8</v>
      </c>
    </row>
    <row r="411" spans="1:8" x14ac:dyDescent="0.3">
      <c r="A411" s="38">
        <v>44489</v>
      </c>
      <c r="B411" s="36">
        <v>11</v>
      </c>
      <c r="C411" s="36"/>
      <c r="D411" s="36">
        <v>11</v>
      </c>
      <c r="E411" s="36"/>
      <c r="F411" s="36"/>
      <c r="G411" s="36"/>
      <c r="H411" s="36">
        <v>11</v>
      </c>
    </row>
    <row r="412" spans="1:8" x14ac:dyDescent="0.3">
      <c r="A412" s="38">
        <v>44493</v>
      </c>
      <c r="B412" s="36"/>
      <c r="C412" s="36"/>
      <c r="D412" s="36"/>
      <c r="E412" s="36">
        <v>7</v>
      </c>
      <c r="F412" s="36"/>
      <c r="G412" s="36">
        <v>7</v>
      </c>
      <c r="H412" s="36">
        <v>7</v>
      </c>
    </row>
    <row r="413" spans="1:8" x14ac:dyDescent="0.3">
      <c r="A413" s="38">
        <v>44494</v>
      </c>
      <c r="B413" s="36"/>
      <c r="C413" s="36">
        <v>19</v>
      </c>
      <c r="D413" s="36">
        <v>19</v>
      </c>
      <c r="E413" s="36"/>
      <c r="F413" s="36"/>
      <c r="G413" s="36"/>
      <c r="H413" s="36">
        <v>19</v>
      </c>
    </row>
    <row r="414" spans="1:8" x14ac:dyDescent="0.3">
      <c r="A414" s="38">
        <v>44496</v>
      </c>
      <c r="B414" s="36">
        <v>16</v>
      </c>
      <c r="C414" s="36"/>
      <c r="D414" s="36">
        <v>16</v>
      </c>
      <c r="E414" s="36"/>
      <c r="F414" s="36"/>
      <c r="G414" s="36"/>
      <c r="H414" s="36">
        <v>16</v>
      </c>
    </row>
    <row r="415" spans="1:8" x14ac:dyDescent="0.3">
      <c r="A415" s="38">
        <v>44497</v>
      </c>
      <c r="B415" s="36">
        <v>5</v>
      </c>
      <c r="C415" s="36">
        <v>8</v>
      </c>
      <c r="D415" s="36">
        <v>13</v>
      </c>
      <c r="E415" s="36">
        <v>31</v>
      </c>
      <c r="F415" s="36"/>
      <c r="G415" s="36">
        <v>31</v>
      </c>
      <c r="H415" s="36">
        <v>44</v>
      </c>
    </row>
    <row r="416" spans="1:8" x14ac:dyDescent="0.3">
      <c r="A416" s="38">
        <v>44500</v>
      </c>
      <c r="B416" s="36"/>
      <c r="C416" s="36"/>
      <c r="D416" s="36"/>
      <c r="E416" s="36"/>
      <c r="F416" s="36">
        <v>2</v>
      </c>
      <c r="G416" s="36">
        <v>2</v>
      </c>
      <c r="H416" s="36">
        <v>2</v>
      </c>
    </row>
    <row r="417" spans="1:8" x14ac:dyDescent="0.3">
      <c r="A417" s="38">
        <v>44501</v>
      </c>
      <c r="B417" s="36">
        <v>13</v>
      </c>
      <c r="C417" s="36"/>
      <c r="D417" s="36">
        <v>13</v>
      </c>
      <c r="E417" s="36"/>
      <c r="F417" s="36"/>
      <c r="G417" s="36"/>
      <c r="H417" s="36">
        <v>13</v>
      </c>
    </row>
    <row r="418" spans="1:8" x14ac:dyDescent="0.3">
      <c r="A418" s="38">
        <v>44503</v>
      </c>
      <c r="B418" s="36"/>
      <c r="C418" s="36"/>
      <c r="D418" s="36"/>
      <c r="E418" s="36"/>
      <c r="F418" s="36">
        <v>8</v>
      </c>
      <c r="G418" s="36">
        <v>8</v>
      </c>
      <c r="H418" s="36">
        <v>8</v>
      </c>
    </row>
    <row r="419" spans="1:8" x14ac:dyDescent="0.3">
      <c r="A419" s="38">
        <v>44504</v>
      </c>
      <c r="B419" s="36"/>
      <c r="C419" s="36"/>
      <c r="D419" s="36"/>
      <c r="E419" s="36">
        <v>11</v>
      </c>
      <c r="F419" s="36">
        <v>18</v>
      </c>
      <c r="G419" s="36">
        <v>29</v>
      </c>
      <c r="H419" s="36">
        <v>29</v>
      </c>
    </row>
    <row r="420" spans="1:8" x14ac:dyDescent="0.3">
      <c r="A420" s="38">
        <v>44505</v>
      </c>
      <c r="B420" s="36"/>
      <c r="C420" s="36">
        <v>8</v>
      </c>
      <c r="D420" s="36">
        <v>8</v>
      </c>
      <c r="E420" s="36"/>
      <c r="F420" s="36">
        <v>14</v>
      </c>
      <c r="G420" s="36">
        <v>14</v>
      </c>
      <c r="H420" s="36">
        <v>22</v>
      </c>
    </row>
    <row r="421" spans="1:8" x14ac:dyDescent="0.3">
      <c r="A421" s="38">
        <v>44506</v>
      </c>
      <c r="B421" s="36">
        <v>9</v>
      </c>
      <c r="C421" s="36"/>
      <c r="D421" s="36">
        <v>9</v>
      </c>
      <c r="E421" s="36">
        <v>17</v>
      </c>
      <c r="F421" s="36"/>
      <c r="G421" s="36">
        <v>17</v>
      </c>
      <c r="H421" s="36">
        <v>26</v>
      </c>
    </row>
    <row r="422" spans="1:8" x14ac:dyDescent="0.3">
      <c r="A422" s="38">
        <v>44507</v>
      </c>
      <c r="B422" s="36"/>
      <c r="C422" s="36"/>
      <c r="D422" s="36"/>
      <c r="E422" s="36">
        <v>6</v>
      </c>
      <c r="F422" s="36"/>
      <c r="G422" s="36">
        <v>6</v>
      </c>
      <c r="H422" s="36">
        <v>6</v>
      </c>
    </row>
    <row r="423" spans="1:8" x14ac:dyDescent="0.3">
      <c r="A423" s="38">
        <v>44508</v>
      </c>
      <c r="B423" s="36">
        <v>9</v>
      </c>
      <c r="C423" s="36"/>
      <c r="D423" s="36">
        <v>9</v>
      </c>
      <c r="E423" s="36"/>
      <c r="F423" s="36">
        <v>9</v>
      </c>
      <c r="G423" s="36">
        <v>9</v>
      </c>
      <c r="H423" s="36">
        <v>18</v>
      </c>
    </row>
    <row r="424" spans="1:8" x14ac:dyDescent="0.3">
      <c r="A424" s="38">
        <v>44511</v>
      </c>
      <c r="B424" s="36">
        <v>13</v>
      </c>
      <c r="C424" s="36"/>
      <c r="D424" s="36">
        <v>13</v>
      </c>
      <c r="E424" s="36">
        <v>11</v>
      </c>
      <c r="F424" s="36"/>
      <c r="G424" s="36">
        <v>11</v>
      </c>
      <c r="H424" s="36">
        <v>24</v>
      </c>
    </row>
    <row r="425" spans="1:8" x14ac:dyDescent="0.3">
      <c r="A425" s="38">
        <v>44512</v>
      </c>
      <c r="B425" s="36"/>
      <c r="C425" s="36">
        <v>1</v>
      </c>
      <c r="D425" s="36">
        <v>1</v>
      </c>
      <c r="E425" s="36"/>
      <c r="F425" s="36"/>
      <c r="G425" s="36"/>
      <c r="H425" s="36">
        <v>1</v>
      </c>
    </row>
    <row r="426" spans="1:8" x14ac:dyDescent="0.3">
      <c r="A426" s="38">
        <v>44513</v>
      </c>
      <c r="B426" s="36"/>
      <c r="C426" s="36"/>
      <c r="D426" s="36"/>
      <c r="E426" s="36">
        <v>7</v>
      </c>
      <c r="F426" s="36"/>
      <c r="G426" s="36">
        <v>7</v>
      </c>
      <c r="H426" s="36">
        <v>7</v>
      </c>
    </row>
    <row r="427" spans="1:8" x14ac:dyDescent="0.3">
      <c r="A427" s="38">
        <v>44514</v>
      </c>
      <c r="B427" s="36">
        <v>6</v>
      </c>
      <c r="C427" s="36"/>
      <c r="D427" s="36">
        <v>6</v>
      </c>
      <c r="E427" s="36">
        <v>10</v>
      </c>
      <c r="F427" s="36"/>
      <c r="G427" s="36">
        <v>10</v>
      </c>
      <c r="H427" s="36">
        <v>16</v>
      </c>
    </row>
    <row r="428" spans="1:8" x14ac:dyDescent="0.3">
      <c r="A428" s="38">
        <v>44515</v>
      </c>
      <c r="B428" s="36"/>
      <c r="C428" s="36">
        <v>2</v>
      </c>
      <c r="D428" s="36">
        <v>2</v>
      </c>
      <c r="E428" s="36">
        <v>13</v>
      </c>
      <c r="F428" s="36"/>
      <c r="G428" s="36">
        <v>13</v>
      </c>
      <c r="H428" s="36">
        <v>15</v>
      </c>
    </row>
    <row r="429" spans="1:8" x14ac:dyDescent="0.3">
      <c r="A429" s="38">
        <v>44518</v>
      </c>
      <c r="B429" s="36"/>
      <c r="C429" s="36">
        <v>3</v>
      </c>
      <c r="D429" s="36">
        <v>3</v>
      </c>
      <c r="E429" s="36">
        <v>8</v>
      </c>
      <c r="F429" s="36"/>
      <c r="G429" s="36">
        <v>8</v>
      </c>
      <c r="H429" s="36">
        <v>11</v>
      </c>
    </row>
    <row r="430" spans="1:8" x14ac:dyDescent="0.3">
      <c r="A430" s="38">
        <v>44519</v>
      </c>
      <c r="B430" s="36"/>
      <c r="C430" s="36"/>
      <c r="D430" s="36"/>
      <c r="E430" s="36">
        <v>3</v>
      </c>
      <c r="F430" s="36">
        <v>31</v>
      </c>
      <c r="G430" s="36">
        <v>34</v>
      </c>
      <c r="H430" s="36">
        <v>34</v>
      </c>
    </row>
    <row r="431" spans="1:8" x14ac:dyDescent="0.3">
      <c r="A431" s="38">
        <v>44520</v>
      </c>
      <c r="B431" s="36"/>
      <c r="C431" s="36"/>
      <c r="D431" s="36"/>
      <c r="E431" s="36"/>
      <c r="F431" s="36">
        <v>3</v>
      </c>
      <c r="G431" s="36">
        <v>3</v>
      </c>
      <c r="H431" s="36">
        <v>3</v>
      </c>
    </row>
    <row r="432" spans="1:8" x14ac:dyDescent="0.3">
      <c r="A432" s="38">
        <v>44521</v>
      </c>
      <c r="B432" s="36"/>
      <c r="C432" s="36"/>
      <c r="D432" s="36"/>
      <c r="E432" s="36">
        <v>3</v>
      </c>
      <c r="F432" s="36"/>
      <c r="G432" s="36">
        <v>3</v>
      </c>
      <c r="H432" s="36">
        <v>3</v>
      </c>
    </row>
    <row r="433" spans="1:8" x14ac:dyDescent="0.3">
      <c r="A433" s="38">
        <v>44522</v>
      </c>
      <c r="B433" s="36"/>
      <c r="C433" s="36">
        <v>7</v>
      </c>
      <c r="D433" s="36">
        <v>7</v>
      </c>
      <c r="E433" s="36"/>
      <c r="F433" s="36"/>
      <c r="G433" s="36"/>
      <c r="H433" s="36">
        <v>7</v>
      </c>
    </row>
    <row r="434" spans="1:8" x14ac:dyDescent="0.3">
      <c r="A434" s="38">
        <v>44524</v>
      </c>
      <c r="B434" s="36">
        <v>10</v>
      </c>
      <c r="C434" s="36"/>
      <c r="D434" s="36">
        <v>10</v>
      </c>
      <c r="E434" s="36"/>
      <c r="F434" s="36">
        <v>9</v>
      </c>
      <c r="G434" s="36">
        <v>9</v>
      </c>
      <c r="H434" s="36">
        <v>19</v>
      </c>
    </row>
    <row r="435" spans="1:8" x14ac:dyDescent="0.3">
      <c r="A435" s="38">
        <v>44525</v>
      </c>
      <c r="B435" s="36">
        <v>20</v>
      </c>
      <c r="C435" s="36"/>
      <c r="D435" s="36">
        <v>20</v>
      </c>
      <c r="E435" s="36">
        <v>10</v>
      </c>
      <c r="F435" s="36"/>
      <c r="G435" s="36">
        <v>10</v>
      </c>
      <c r="H435" s="36">
        <v>30</v>
      </c>
    </row>
    <row r="436" spans="1:8" x14ac:dyDescent="0.3">
      <c r="A436" s="38">
        <v>44526</v>
      </c>
      <c r="B436" s="36">
        <v>7</v>
      </c>
      <c r="C436" s="36"/>
      <c r="D436" s="36">
        <v>7</v>
      </c>
      <c r="E436" s="36"/>
      <c r="F436" s="36"/>
      <c r="G436" s="36"/>
      <c r="H436" s="36">
        <v>7</v>
      </c>
    </row>
    <row r="437" spans="1:8" x14ac:dyDescent="0.3">
      <c r="A437" s="38">
        <v>44527</v>
      </c>
      <c r="B437" s="36"/>
      <c r="C437" s="36"/>
      <c r="D437" s="36"/>
      <c r="E437" s="36">
        <v>18</v>
      </c>
      <c r="F437" s="36"/>
      <c r="G437" s="36">
        <v>18</v>
      </c>
      <c r="H437" s="36">
        <v>18</v>
      </c>
    </row>
    <row r="438" spans="1:8" x14ac:dyDescent="0.3">
      <c r="A438" s="38">
        <v>44531</v>
      </c>
      <c r="B438" s="36">
        <v>2</v>
      </c>
      <c r="C438" s="36"/>
      <c r="D438" s="36">
        <v>2</v>
      </c>
      <c r="E438" s="36"/>
      <c r="F438" s="36"/>
      <c r="G438" s="36"/>
      <c r="H438" s="36">
        <v>2</v>
      </c>
    </row>
    <row r="439" spans="1:8" x14ac:dyDescent="0.3">
      <c r="A439" s="38">
        <v>44532</v>
      </c>
      <c r="B439" s="36"/>
      <c r="C439" s="36"/>
      <c r="D439" s="36"/>
      <c r="E439" s="36"/>
      <c r="F439" s="36">
        <v>24</v>
      </c>
      <c r="G439" s="36">
        <v>24</v>
      </c>
      <c r="H439" s="36">
        <v>24</v>
      </c>
    </row>
    <row r="440" spans="1:8" x14ac:dyDescent="0.3">
      <c r="A440" s="38">
        <v>44534</v>
      </c>
      <c r="B440" s="36">
        <v>9</v>
      </c>
      <c r="C440" s="36"/>
      <c r="D440" s="36">
        <v>9</v>
      </c>
      <c r="E440" s="36">
        <v>13</v>
      </c>
      <c r="F440" s="36">
        <v>5</v>
      </c>
      <c r="G440" s="36">
        <v>18</v>
      </c>
      <c r="H440" s="36">
        <v>27</v>
      </c>
    </row>
    <row r="441" spans="1:8" x14ac:dyDescent="0.3">
      <c r="A441" s="38">
        <v>44535</v>
      </c>
      <c r="B441" s="36"/>
      <c r="C441" s="36"/>
      <c r="D441" s="36"/>
      <c r="E441" s="36">
        <v>13</v>
      </c>
      <c r="F441" s="36"/>
      <c r="G441" s="36">
        <v>13</v>
      </c>
      <c r="H441" s="36">
        <v>13</v>
      </c>
    </row>
    <row r="442" spans="1:8" x14ac:dyDescent="0.3">
      <c r="A442" s="38">
        <v>44536</v>
      </c>
      <c r="B442" s="36"/>
      <c r="C442" s="36"/>
      <c r="D442" s="36"/>
      <c r="E442" s="36">
        <v>15</v>
      </c>
      <c r="F442" s="36">
        <v>12</v>
      </c>
      <c r="G442" s="36">
        <v>27</v>
      </c>
      <c r="H442" s="36">
        <v>27</v>
      </c>
    </row>
    <row r="443" spans="1:8" x14ac:dyDescent="0.3">
      <c r="A443" s="38">
        <v>44539</v>
      </c>
      <c r="B443" s="36">
        <v>7</v>
      </c>
      <c r="C443" s="36"/>
      <c r="D443" s="36">
        <v>7</v>
      </c>
      <c r="E443" s="36"/>
      <c r="F443" s="36"/>
      <c r="G443" s="36"/>
      <c r="H443" s="36">
        <v>7</v>
      </c>
    </row>
    <row r="444" spans="1:8" x14ac:dyDescent="0.3">
      <c r="A444" s="38">
        <v>44540</v>
      </c>
      <c r="B444" s="36"/>
      <c r="C444" s="36"/>
      <c r="D444" s="36"/>
      <c r="E444" s="36"/>
      <c r="F444" s="36">
        <v>5</v>
      </c>
      <c r="G444" s="36">
        <v>5</v>
      </c>
      <c r="H444" s="36">
        <v>5</v>
      </c>
    </row>
    <row r="445" spans="1:8" x14ac:dyDescent="0.3">
      <c r="A445" s="38">
        <v>44541</v>
      </c>
      <c r="B445" s="36"/>
      <c r="C445" s="36"/>
      <c r="D445" s="36"/>
      <c r="E445" s="36">
        <v>29</v>
      </c>
      <c r="F445" s="36">
        <v>11</v>
      </c>
      <c r="G445" s="36">
        <v>40</v>
      </c>
      <c r="H445" s="36">
        <v>40</v>
      </c>
    </row>
    <row r="446" spans="1:8" x14ac:dyDescent="0.3">
      <c r="A446" s="38">
        <v>44542</v>
      </c>
      <c r="B446" s="36"/>
      <c r="C446" s="36"/>
      <c r="D446" s="36"/>
      <c r="E446" s="36">
        <v>12</v>
      </c>
      <c r="F446" s="36"/>
      <c r="G446" s="36">
        <v>12</v>
      </c>
      <c r="H446" s="36">
        <v>12</v>
      </c>
    </row>
    <row r="447" spans="1:8" x14ac:dyDescent="0.3">
      <c r="A447" s="38">
        <v>44543</v>
      </c>
      <c r="B447" s="36"/>
      <c r="C447" s="36"/>
      <c r="D447" s="36"/>
      <c r="E447" s="36">
        <v>6</v>
      </c>
      <c r="F447" s="36">
        <v>25</v>
      </c>
      <c r="G447" s="36">
        <v>31</v>
      </c>
      <c r="H447" s="36">
        <v>31</v>
      </c>
    </row>
    <row r="448" spans="1:8" x14ac:dyDescent="0.3">
      <c r="A448" s="38">
        <v>44545</v>
      </c>
      <c r="B448" s="36">
        <v>13</v>
      </c>
      <c r="C448" s="36"/>
      <c r="D448" s="36">
        <v>13</v>
      </c>
      <c r="E448" s="36">
        <v>6</v>
      </c>
      <c r="F448" s="36"/>
      <c r="G448" s="36">
        <v>6</v>
      </c>
      <c r="H448" s="36">
        <v>19</v>
      </c>
    </row>
    <row r="449" spans="1:8" x14ac:dyDescent="0.3">
      <c r="A449" s="38">
        <v>44546</v>
      </c>
      <c r="B449" s="36">
        <v>11</v>
      </c>
      <c r="C449" s="36"/>
      <c r="D449" s="36">
        <v>11</v>
      </c>
      <c r="E449" s="36"/>
      <c r="F449" s="36">
        <v>21</v>
      </c>
      <c r="G449" s="36">
        <v>21</v>
      </c>
      <c r="H449" s="36">
        <v>32</v>
      </c>
    </row>
    <row r="450" spans="1:8" x14ac:dyDescent="0.3">
      <c r="A450" s="38">
        <v>44547</v>
      </c>
      <c r="B450" s="36"/>
      <c r="C450" s="36"/>
      <c r="D450" s="36"/>
      <c r="E450" s="36"/>
      <c r="F450" s="36">
        <v>8</v>
      </c>
      <c r="G450" s="36">
        <v>8</v>
      </c>
      <c r="H450" s="36">
        <v>8</v>
      </c>
    </row>
    <row r="451" spans="1:8" x14ac:dyDescent="0.3">
      <c r="A451" s="38">
        <v>44552</v>
      </c>
      <c r="B451" s="36">
        <v>18</v>
      </c>
      <c r="C451" s="36">
        <v>12</v>
      </c>
      <c r="D451" s="36">
        <v>30</v>
      </c>
      <c r="E451" s="36">
        <v>12</v>
      </c>
      <c r="F451" s="36"/>
      <c r="G451" s="36">
        <v>12</v>
      </c>
      <c r="H451" s="36">
        <v>42</v>
      </c>
    </row>
    <row r="452" spans="1:8" x14ac:dyDescent="0.3">
      <c r="A452" s="38">
        <v>44553</v>
      </c>
      <c r="B452" s="36">
        <v>29</v>
      </c>
      <c r="C452" s="36"/>
      <c r="D452" s="36">
        <v>29</v>
      </c>
      <c r="E452" s="36"/>
      <c r="F452" s="36">
        <v>7</v>
      </c>
      <c r="G452" s="36">
        <v>7</v>
      </c>
      <c r="H452" s="36">
        <v>36</v>
      </c>
    </row>
    <row r="453" spans="1:8" x14ac:dyDescent="0.3">
      <c r="A453" s="38">
        <v>44554</v>
      </c>
      <c r="B453" s="36"/>
      <c r="C453" s="36"/>
      <c r="D453" s="36"/>
      <c r="E453" s="36">
        <v>30</v>
      </c>
      <c r="F453" s="36">
        <v>18</v>
      </c>
      <c r="G453" s="36">
        <v>48</v>
      </c>
      <c r="H453" s="36">
        <v>48</v>
      </c>
    </row>
    <row r="454" spans="1:8" x14ac:dyDescent="0.3">
      <c r="A454" s="38">
        <v>44555</v>
      </c>
      <c r="B454" s="36"/>
      <c r="C454" s="36">
        <v>11</v>
      </c>
      <c r="D454" s="36">
        <v>11</v>
      </c>
      <c r="E454" s="36"/>
      <c r="F454" s="36"/>
      <c r="G454" s="36"/>
      <c r="H454" s="36">
        <v>11</v>
      </c>
    </row>
    <row r="455" spans="1:8" x14ac:dyDescent="0.3">
      <c r="A455" s="38">
        <v>44560</v>
      </c>
      <c r="B455" s="36">
        <v>14</v>
      </c>
      <c r="C455" s="36"/>
      <c r="D455" s="36">
        <v>14</v>
      </c>
      <c r="E455" s="36">
        <v>8</v>
      </c>
      <c r="F455" s="36"/>
      <c r="G455" s="36">
        <v>8</v>
      </c>
      <c r="H455" s="36">
        <v>22</v>
      </c>
    </row>
    <row r="456" spans="1:8" x14ac:dyDescent="0.3">
      <c r="A456" s="38" t="s">
        <v>1</v>
      </c>
      <c r="B456" s="36">
        <v>2807</v>
      </c>
      <c r="C456" s="36">
        <v>1354</v>
      </c>
      <c r="D456" s="36">
        <v>4161</v>
      </c>
      <c r="E456" s="36">
        <v>1243</v>
      </c>
      <c r="F456" s="36">
        <v>2593</v>
      </c>
      <c r="G456" s="36">
        <v>3836</v>
      </c>
      <c r="H456" s="36">
        <v>7997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CE6D5-5BB5-435C-9449-8460AD1F1E36}">
  <sheetPr>
    <tabColor theme="0" tint="-0.34998626667073579"/>
  </sheetPr>
  <dimension ref="A3:G16"/>
  <sheetViews>
    <sheetView rightToLeft="1" workbookViewId="0">
      <selection activeCell="A10" sqref="A10"/>
    </sheetView>
  </sheetViews>
  <sheetFormatPr defaultRowHeight="14.4" x14ac:dyDescent="0.3"/>
  <cols>
    <col min="1" max="1" width="17.44140625" bestFit="1" customWidth="1"/>
    <col min="2" max="2" width="13.21875" bestFit="1" customWidth="1"/>
    <col min="3" max="6" width="9.21875" bestFit="1" customWidth="1"/>
    <col min="7" max="7" width="10.77734375" bestFit="1" customWidth="1"/>
    <col min="8" max="8" width="5.5546875" bestFit="1" customWidth="1"/>
    <col min="9" max="9" width="4" bestFit="1" customWidth="1"/>
    <col min="10" max="10" width="17.5546875" bestFit="1" customWidth="1"/>
    <col min="11" max="11" width="9.21875" bestFit="1" customWidth="1"/>
    <col min="12" max="12" width="5.5546875" bestFit="1" customWidth="1"/>
    <col min="13" max="13" width="4" bestFit="1" customWidth="1"/>
    <col min="14" max="14" width="14.109375" bestFit="1" customWidth="1"/>
    <col min="15" max="15" width="9.21875" bestFit="1" customWidth="1"/>
    <col min="16" max="16" width="5.5546875" bestFit="1" customWidth="1"/>
    <col min="17" max="17" width="4" bestFit="1" customWidth="1"/>
    <col min="18" max="18" width="15.44140625" bestFit="1" customWidth="1"/>
    <col min="19" max="19" width="9.21875" bestFit="1" customWidth="1"/>
    <col min="20" max="20" width="5.5546875" bestFit="1" customWidth="1"/>
    <col min="21" max="21" width="4" bestFit="1" customWidth="1"/>
    <col min="22" max="22" width="10.77734375" bestFit="1" customWidth="1"/>
  </cols>
  <sheetData>
    <row r="3" spans="1:7" x14ac:dyDescent="0.3">
      <c r="A3" s="29" t="s">
        <v>48</v>
      </c>
      <c r="C3" s="29" t="s">
        <v>30</v>
      </c>
    </row>
    <row r="4" spans="1:7" x14ac:dyDescent="0.3">
      <c r="A4" s="29" t="s">
        <v>57</v>
      </c>
      <c r="B4" s="29" t="s">
        <v>28</v>
      </c>
      <c r="C4" t="s">
        <v>15</v>
      </c>
      <c r="D4" t="s">
        <v>16</v>
      </c>
      <c r="E4" t="s">
        <v>17</v>
      </c>
      <c r="F4" t="s">
        <v>14</v>
      </c>
      <c r="G4" t="s">
        <v>1</v>
      </c>
    </row>
    <row r="5" spans="1:7" x14ac:dyDescent="0.3">
      <c r="A5" t="s">
        <v>2</v>
      </c>
      <c r="B5" t="s">
        <v>2</v>
      </c>
      <c r="C5" s="36"/>
      <c r="D5" s="36"/>
      <c r="E5" s="36"/>
      <c r="F5" s="36">
        <v>599</v>
      </c>
      <c r="G5" s="36">
        <v>599</v>
      </c>
    </row>
    <row r="6" spans="1:7" x14ac:dyDescent="0.3">
      <c r="A6" t="s">
        <v>10</v>
      </c>
      <c r="B6" t="s">
        <v>10</v>
      </c>
      <c r="C6" s="36"/>
      <c r="D6" s="36">
        <v>438</v>
      </c>
      <c r="E6" s="36"/>
      <c r="F6" s="36"/>
      <c r="G6" s="36">
        <v>438</v>
      </c>
    </row>
    <row r="7" spans="1:7" x14ac:dyDescent="0.3">
      <c r="A7" t="s">
        <v>12</v>
      </c>
      <c r="B7" t="s">
        <v>12</v>
      </c>
      <c r="C7" s="36">
        <v>745</v>
      </c>
      <c r="D7" s="36"/>
      <c r="E7" s="36"/>
      <c r="F7" s="36"/>
      <c r="G7" s="36">
        <v>745</v>
      </c>
    </row>
    <row r="8" spans="1:7" x14ac:dyDescent="0.3">
      <c r="A8" t="s">
        <v>9</v>
      </c>
      <c r="B8" t="s">
        <v>9</v>
      </c>
      <c r="C8" s="36">
        <v>524</v>
      </c>
      <c r="D8" s="36"/>
      <c r="E8" s="36"/>
      <c r="F8" s="36"/>
      <c r="G8" s="36">
        <v>524</v>
      </c>
    </row>
    <row r="9" spans="1:7" x14ac:dyDescent="0.3">
      <c r="A9" t="s">
        <v>4</v>
      </c>
      <c r="B9" t="s">
        <v>4</v>
      </c>
      <c r="C9" s="36"/>
      <c r="D9" s="36"/>
      <c r="E9" s="36"/>
      <c r="F9" s="36">
        <v>846</v>
      </c>
      <c r="G9" s="36">
        <v>846</v>
      </c>
    </row>
    <row r="10" spans="1:7" x14ac:dyDescent="0.3">
      <c r="A10" t="s">
        <v>52</v>
      </c>
      <c r="C10" s="36"/>
      <c r="D10" s="36"/>
      <c r="E10" s="36">
        <v>1243</v>
      </c>
      <c r="F10" s="36"/>
      <c r="G10" s="36">
        <v>1243</v>
      </c>
    </row>
    <row r="11" spans="1:7" x14ac:dyDescent="0.3">
      <c r="A11" t="s">
        <v>13</v>
      </c>
      <c r="B11" t="s">
        <v>13</v>
      </c>
      <c r="C11" s="36"/>
      <c r="D11" s="36">
        <v>778</v>
      </c>
      <c r="E11" s="36"/>
      <c r="F11" s="36"/>
      <c r="G11" s="36">
        <v>778</v>
      </c>
    </row>
    <row r="12" spans="1:7" x14ac:dyDescent="0.3">
      <c r="A12" t="s">
        <v>5</v>
      </c>
      <c r="B12" t="s">
        <v>5</v>
      </c>
      <c r="C12" s="36">
        <v>470</v>
      </c>
      <c r="D12" s="36">
        <v>138</v>
      </c>
      <c r="E12" s="36"/>
      <c r="F12" s="36"/>
      <c r="G12" s="36">
        <v>608</v>
      </c>
    </row>
    <row r="13" spans="1:7" x14ac:dyDescent="0.3">
      <c r="A13" t="s">
        <v>3</v>
      </c>
      <c r="B13" t="s">
        <v>3</v>
      </c>
      <c r="C13" s="36">
        <v>1068</v>
      </c>
      <c r="D13" s="36"/>
      <c r="E13" s="36"/>
      <c r="F13" s="36"/>
      <c r="G13" s="36">
        <v>1068</v>
      </c>
    </row>
    <row r="14" spans="1:7" x14ac:dyDescent="0.3">
      <c r="A14" t="s">
        <v>6</v>
      </c>
      <c r="B14" t="s">
        <v>6</v>
      </c>
      <c r="C14" s="36"/>
      <c r="D14" s="36"/>
      <c r="E14" s="36"/>
      <c r="F14" s="36">
        <v>516</v>
      </c>
      <c r="G14" s="36">
        <v>516</v>
      </c>
    </row>
    <row r="15" spans="1:7" x14ac:dyDescent="0.3">
      <c r="A15" t="s">
        <v>11</v>
      </c>
      <c r="B15" t="s">
        <v>11</v>
      </c>
      <c r="C15" s="36"/>
      <c r="D15" s="36"/>
      <c r="E15" s="36"/>
      <c r="F15" s="36">
        <v>632</v>
      </c>
      <c r="G15" s="36">
        <v>632</v>
      </c>
    </row>
    <row r="16" spans="1:7" x14ac:dyDescent="0.3">
      <c r="A16" t="s">
        <v>1</v>
      </c>
      <c r="C16" s="36">
        <v>2807</v>
      </c>
      <c r="D16" s="36">
        <v>1354</v>
      </c>
      <c r="E16" s="36">
        <v>1243</v>
      </c>
      <c r="F16" s="36">
        <v>2593</v>
      </c>
      <c r="G16" s="36">
        <v>7997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A4DAF-3EDD-470A-BF63-113E0F944922}">
  <sheetPr>
    <tabColor rgb="FFED7D31"/>
  </sheetPr>
  <dimension ref="A4:G18"/>
  <sheetViews>
    <sheetView rightToLeft="1" workbookViewId="0">
      <selection activeCell="A4" sqref="A4"/>
    </sheetView>
  </sheetViews>
  <sheetFormatPr defaultRowHeight="14.4" x14ac:dyDescent="0.3"/>
  <cols>
    <col min="1" max="1" width="17.44140625" bestFit="1" customWidth="1"/>
    <col min="2" max="6" width="15.5546875" bestFit="1" customWidth="1"/>
    <col min="7" max="8" width="10.77734375" bestFit="1" customWidth="1"/>
    <col min="9" max="9" width="16.88671875" bestFit="1" customWidth="1"/>
    <col min="10" max="10" width="15.44140625" bestFit="1" customWidth="1"/>
    <col min="11" max="11" width="18.21875" bestFit="1" customWidth="1"/>
    <col min="12" max="12" width="10.77734375" bestFit="1" customWidth="1"/>
  </cols>
  <sheetData>
    <row r="4" spans="1:7" x14ac:dyDescent="0.3">
      <c r="A4" s="29" t="s">
        <v>48</v>
      </c>
      <c r="B4" s="29" t="s">
        <v>29</v>
      </c>
    </row>
    <row r="5" spans="1:7" x14ac:dyDescent="0.3">
      <c r="A5" s="29" t="s">
        <v>28</v>
      </c>
      <c r="B5" t="s">
        <v>27</v>
      </c>
      <c r="C5" t="s">
        <v>23</v>
      </c>
      <c r="D5" t="s">
        <v>25</v>
      </c>
      <c r="E5" t="s">
        <v>26</v>
      </c>
      <c r="F5" t="s">
        <v>24</v>
      </c>
      <c r="G5" t="s">
        <v>1</v>
      </c>
    </row>
    <row r="6" spans="1:7" x14ac:dyDescent="0.3">
      <c r="A6" t="s">
        <v>2</v>
      </c>
      <c r="B6" s="36">
        <v>174</v>
      </c>
      <c r="C6" s="36">
        <v>166</v>
      </c>
      <c r="D6" s="36">
        <v>90</v>
      </c>
      <c r="E6" s="36">
        <v>19</v>
      </c>
      <c r="F6" s="36">
        <v>150</v>
      </c>
      <c r="G6" s="36">
        <v>599</v>
      </c>
    </row>
    <row r="7" spans="1:7" x14ac:dyDescent="0.3">
      <c r="A7" t="s">
        <v>10</v>
      </c>
      <c r="B7" s="36">
        <v>90</v>
      </c>
      <c r="C7" s="36">
        <v>121</v>
      </c>
      <c r="D7" s="36">
        <v>72</v>
      </c>
      <c r="E7" s="36">
        <v>93</v>
      </c>
      <c r="F7" s="36">
        <v>62</v>
      </c>
      <c r="G7" s="36">
        <v>438</v>
      </c>
    </row>
    <row r="8" spans="1:7" x14ac:dyDescent="0.3">
      <c r="A8" t="s">
        <v>12</v>
      </c>
      <c r="B8" s="36">
        <v>116</v>
      </c>
      <c r="C8" s="36">
        <v>212</v>
      </c>
      <c r="D8" s="36">
        <v>125</v>
      </c>
      <c r="E8" s="36">
        <v>147</v>
      </c>
      <c r="F8" s="36">
        <v>145</v>
      </c>
      <c r="G8" s="36">
        <v>745</v>
      </c>
    </row>
    <row r="9" spans="1:7" x14ac:dyDescent="0.3">
      <c r="A9" t="s">
        <v>9</v>
      </c>
      <c r="B9" s="36">
        <v>107</v>
      </c>
      <c r="C9" s="36">
        <v>142</v>
      </c>
      <c r="D9" s="36">
        <v>74</v>
      </c>
      <c r="E9" s="36">
        <v>79</v>
      </c>
      <c r="F9" s="36">
        <v>122</v>
      </c>
      <c r="G9" s="36">
        <v>524</v>
      </c>
    </row>
    <row r="10" spans="1:7" x14ac:dyDescent="0.3">
      <c r="A10" t="s">
        <v>4</v>
      </c>
      <c r="B10" s="36">
        <v>249</v>
      </c>
      <c r="C10" s="36">
        <v>170</v>
      </c>
      <c r="D10" s="36">
        <v>150</v>
      </c>
      <c r="E10" s="36">
        <v>157</v>
      </c>
      <c r="F10" s="36">
        <v>120</v>
      </c>
      <c r="G10" s="36">
        <v>846</v>
      </c>
    </row>
    <row r="11" spans="1:7" x14ac:dyDescent="0.3">
      <c r="A11" t="s">
        <v>8</v>
      </c>
      <c r="B11" s="36">
        <v>128</v>
      </c>
      <c r="C11" s="36">
        <v>172</v>
      </c>
      <c r="D11" s="36">
        <v>79</v>
      </c>
      <c r="E11" s="36">
        <v>134</v>
      </c>
      <c r="F11" s="36">
        <v>145</v>
      </c>
      <c r="G11" s="36">
        <v>658</v>
      </c>
    </row>
    <row r="12" spans="1:7" x14ac:dyDescent="0.3">
      <c r="A12" t="s">
        <v>7</v>
      </c>
      <c r="B12" s="36">
        <v>101</v>
      </c>
      <c r="C12" s="36">
        <v>110</v>
      </c>
      <c r="D12" s="36">
        <v>155</v>
      </c>
      <c r="E12" s="36">
        <v>150</v>
      </c>
      <c r="F12" s="36">
        <v>69</v>
      </c>
      <c r="G12" s="36">
        <v>585</v>
      </c>
    </row>
    <row r="13" spans="1:7" x14ac:dyDescent="0.3">
      <c r="A13" t="s">
        <v>13</v>
      </c>
      <c r="B13" s="36">
        <v>117</v>
      </c>
      <c r="C13" s="36">
        <v>183</v>
      </c>
      <c r="D13" s="36">
        <v>151</v>
      </c>
      <c r="E13" s="36">
        <v>209</v>
      </c>
      <c r="F13" s="36">
        <v>118</v>
      </c>
      <c r="G13" s="36">
        <v>778</v>
      </c>
    </row>
    <row r="14" spans="1:7" x14ac:dyDescent="0.3">
      <c r="A14" t="s">
        <v>5</v>
      </c>
      <c r="B14" s="36">
        <v>121</v>
      </c>
      <c r="C14" s="36">
        <v>91</v>
      </c>
      <c r="D14" s="36">
        <v>138</v>
      </c>
      <c r="E14" s="36">
        <v>154</v>
      </c>
      <c r="F14" s="36">
        <v>104</v>
      </c>
      <c r="G14" s="36">
        <v>608</v>
      </c>
    </row>
    <row r="15" spans="1:7" x14ac:dyDescent="0.3">
      <c r="A15" t="s">
        <v>3</v>
      </c>
      <c r="B15" s="36">
        <v>199</v>
      </c>
      <c r="C15" s="36">
        <v>217</v>
      </c>
      <c r="D15" s="36">
        <v>214</v>
      </c>
      <c r="E15" s="36">
        <v>239</v>
      </c>
      <c r="F15" s="36">
        <v>199</v>
      </c>
      <c r="G15" s="36">
        <v>1068</v>
      </c>
    </row>
    <row r="16" spans="1:7" x14ac:dyDescent="0.3">
      <c r="A16" t="s">
        <v>6</v>
      </c>
      <c r="B16" s="36">
        <v>172</v>
      </c>
      <c r="C16" s="36">
        <v>62</v>
      </c>
      <c r="D16" s="36">
        <v>75</v>
      </c>
      <c r="E16" s="36">
        <v>77</v>
      </c>
      <c r="F16" s="36">
        <v>130</v>
      </c>
      <c r="G16" s="36">
        <v>516</v>
      </c>
    </row>
    <row r="17" spans="1:7" x14ac:dyDescent="0.3">
      <c r="A17" t="s">
        <v>11</v>
      </c>
      <c r="B17" s="36">
        <v>105</v>
      </c>
      <c r="C17" s="36">
        <v>169</v>
      </c>
      <c r="D17" s="36">
        <v>80</v>
      </c>
      <c r="E17" s="36">
        <v>154</v>
      </c>
      <c r="F17" s="36">
        <v>124</v>
      </c>
      <c r="G17" s="36">
        <v>632</v>
      </c>
    </row>
    <row r="18" spans="1:7" x14ac:dyDescent="0.3">
      <c r="A18" t="s">
        <v>1</v>
      </c>
      <c r="B18" s="36">
        <v>1679</v>
      </c>
      <c r="C18" s="36">
        <v>1815</v>
      </c>
      <c r="D18" s="36">
        <v>1403</v>
      </c>
      <c r="E18" s="36">
        <v>1612</v>
      </c>
      <c r="F18" s="36">
        <v>1488</v>
      </c>
      <c r="G18" s="36">
        <v>7997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4435F-257B-4D5C-AD5B-931B7C3248D9}">
  <sheetPr>
    <tabColor theme="4"/>
  </sheetPr>
  <dimension ref="A1:G15"/>
  <sheetViews>
    <sheetView rightToLeft="1" tabSelected="1" workbookViewId="0">
      <selection activeCell="C8" sqref="C8"/>
    </sheetView>
  </sheetViews>
  <sheetFormatPr defaultRowHeight="14.4" x14ac:dyDescent="0.3"/>
  <cols>
    <col min="1" max="1" width="17.44140625" bestFit="1" customWidth="1"/>
    <col min="2" max="2" width="15.5546875" bestFit="1" customWidth="1"/>
    <col min="3" max="4" width="12.109375" bestFit="1" customWidth="1"/>
    <col min="5" max="5" width="13.44140625" bestFit="1" customWidth="1"/>
    <col min="6" max="6" width="15.5546875" bestFit="1" customWidth="1"/>
    <col min="7" max="7" width="10.77734375" bestFit="1" customWidth="1"/>
    <col min="8" max="8" width="16.88671875" bestFit="1" customWidth="1"/>
    <col min="9" max="9" width="15.44140625" bestFit="1" customWidth="1"/>
    <col min="10" max="10" width="18.21875" bestFit="1" customWidth="1"/>
    <col min="11" max="11" width="10.77734375" bestFit="1" customWidth="1"/>
    <col min="12" max="12" width="7.6640625" bestFit="1" customWidth="1"/>
    <col min="13" max="13" width="10.33203125" bestFit="1" customWidth="1"/>
    <col min="14" max="14" width="10.77734375" bestFit="1" customWidth="1"/>
    <col min="15" max="15" width="14.109375" bestFit="1" customWidth="1"/>
    <col min="16" max="16" width="7.109375" bestFit="1" customWidth="1"/>
    <col min="17" max="17" width="9" bestFit="1" customWidth="1"/>
    <col min="18" max="18" width="8.77734375" bestFit="1" customWidth="1"/>
    <col min="19" max="19" width="11.21875" bestFit="1" customWidth="1"/>
    <col min="20" max="20" width="9" bestFit="1" customWidth="1"/>
    <col min="21" max="21" width="9.5546875" bestFit="1" customWidth="1"/>
    <col min="22" max="22" width="10.109375" bestFit="1" customWidth="1"/>
    <col min="23" max="23" width="13.5546875" bestFit="1" customWidth="1"/>
    <col min="24" max="24" width="10" bestFit="1" customWidth="1"/>
    <col min="25" max="25" width="7.6640625" bestFit="1" customWidth="1"/>
    <col min="26" max="26" width="10.33203125" bestFit="1" customWidth="1"/>
    <col min="27" max="27" width="16.88671875" bestFit="1" customWidth="1"/>
    <col min="28" max="28" width="14.109375" bestFit="1" customWidth="1"/>
    <col min="29" max="29" width="7.109375" bestFit="1" customWidth="1"/>
    <col min="30" max="30" width="9" bestFit="1" customWidth="1"/>
    <col min="31" max="31" width="8.77734375" bestFit="1" customWidth="1"/>
    <col min="32" max="32" width="11.21875" bestFit="1" customWidth="1"/>
    <col min="33" max="33" width="9" bestFit="1" customWidth="1"/>
    <col min="34" max="34" width="9.5546875" bestFit="1" customWidth="1"/>
    <col min="35" max="35" width="10.109375" bestFit="1" customWidth="1"/>
    <col min="36" max="36" width="13.5546875" bestFit="1" customWidth="1"/>
    <col min="37" max="37" width="10" bestFit="1" customWidth="1"/>
    <col min="38" max="38" width="7.6640625" bestFit="1" customWidth="1"/>
    <col min="39" max="39" width="10.33203125" bestFit="1" customWidth="1"/>
    <col min="40" max="40" width="16.88671875" bestFit="1" customWidth="1"/>
    <col min="41" max="41" width="15.44140625" bestFit="1" customWidth="1"/>
    <col min="42" max="42" width="7.109375" bestFit="1" customWidth="1"/>
    <col min="43" max="43" width="9" bestFit="1" customWidth="1"/>
    <col min="44" max="44" width="8.77734375" bestFit="1" customWidth="1"/>
    <col min="45" max="45" width="11.21875" bestFit="1" customWidth="1"/>
    <col min="46" max="46" width="9" bestFit="1" customWidth="1"/>
    <col min="47" max="47" width="9.5546875" bestFit="1" customWidth="1"/>
    <col min="48" max="48" width="10.109375" bestFit="1" customWidth="1"/>
    <col min="49" max="49" width="13.5546875" bestFit="1" customWidth="1"/>
    <col min="50" max="50" width="10" bestFit="1" customWidth="1"/>
    <col min="51" max="51" width="7.6640625" bestFit="1" customWidth="1"/>
    <col min="52" max="52" width="10.33203125" bestFit="1" customWidth="1"/>
    <col min="53" max="53" width="18.21875" bestFit="1" customWidth="1"/>
    <col min="54" max="54" width="17.5546875" bestFit="1" customWidth="1"/>
    <col min="55" max="55" width="7.109375" bestFit="1" customWidth="1"/>
    <col min="56" max="56" width="9" bestFit="1" customWidth="1"/>
    <col min="57" max="57" width="8.77734375" bestFit="1" customWidth="1"/>
    <col min="58" max="58" width="11.21875" bestFit="1" customWidth="1"/>
    <col min="59" max="59" width="9" bestFit="1" customWidth="1"/>
    <col min="60" max="60" width="9.5546875" bestFit="1" customWidth="1"/>
    <col min="61" max="61" width="10.109375" bestFit="1" customWidth="1"/>
    <col min="62" max="62" width="13.5546875" bestFit="1" customWidth="1"/>
    <col min="63" max="63" width="10" bestFit="1" customWidth="1"/>
    <col min="64" max="64" width="7.6640625" bestFit="1" customWidth="1"/>
    <col min="65" max="65" width="10.33203125" bestFit="1" customWidth="1"/>
    <col min="66" max="66" width="20.33203125" bestFit="1" customWidth="1"/>
    <col min="67" max="67" width="10.77734375" bestFit="1" customWidth="1"/>
  </cols>
  <sheetData>
    <row r="1" spans="1:7" x14ac:dyDescent="0.3">
      <c r="A1" s="29" t="s">
        <v>48</v>
      </c>
      <c r="B1" s="29" t="s">
        <v>51</v>
      </c>
    </row>
    <row r="2" spans="1:7" x14ac:dyDescent="0.3">
      <c r="A2" s="29" t="s">
        <v>50</v>
      </c>
      <c r="B2" t="s">
        <v>27</v>
      </c>
      <c r="C2" t="s">
        <v>23</v>
      </c>
      <c r="D2" t="s">
        <v>25</v>
      </c>
      <c r="E2" t="s">
        <v>26</v>
      </c>
      <c r="F2" t="s">
        <v>24</v>
      </c>
      <c r="G2" t="s">
        <v>1</v>
      </c>
    </row>
    <row r="3" spans="1:7" x14ac:dyDescent="0.3">
      <c r="A3" s="30" t="s">
        <v>2</v>
      </c>
      <c r="B3" s="36">
        <v>174</v>
      </c>
      <c r="C3" s="36">
        <v>166</v>
      </c>
      <c r="D3" s="36">
        <v>90</v>
      </c>
      <c r="E3" s="36">
        <v>19</v>
      </c>
      <c r="F3" s="36">
        <v>150</v>
      </c>
      <c r="G3" s="36">
        <v>599</v>
      </c>
    </row>
    <row r="4" spans="1:7" x14ac:dyDescent="0.3">
      <c r="A4" s="30" t="s">
        <v>10</v>
      </c>
      <c r="B4" s="36">
        <v>90</v>
      </c>
      <c r="C4" s="36">
        <v>121</v>
      </c>
      <c r="D4" s="36">
        <v>72</v>
      </c>
      <c r="E4" s="36">
        <v>93</v>
      </c>
      <c r="F4" s="36">
        <v>62</v>
      </c>
      <c r="G4" s="36">
        <v>438</v>
      </c>
    </row>
    <row r="5" spans="1:7" x14ac:dyDescent="0.3">
      <c r="A5" s="30" t="s">
        <v>12</v>
      </c>
      <c r="B5" s="36">
        <v>116</v>
      </c>
      <c r="C5" s="36">
        <v>212</v>
      </c>
      <c r="D5" s="36">
        <v>125</v>
      </c>
      <c r="E5" s="36">
        <v>147</v>
      </c>
      <c r="F5" s="36">
        <v>145</v>
      </c>
      <c r="G5" s="36">
        <v>745</v>
      </c>
    </row>
    <row r="6" spans="1:7" x14ac:dyDescent="0.3">
      <c r="A6" s="30" t="s">
        <v>9</v>
      </c>
      <c r="B6" s="36">
        <v>107</v>
      </c>
      <c r="C6" s="36">
        <v>142</v>
      </c>
      <c r="D6" s="36">
        <v>74</v>
      </c>
      <c r="E6" s="36">
        <v>79</v>
      </c>
      <c r="F6" s="36">
        <v>122</v>
      </c>
      <c r="G6" s="36">
        <v>524</v>
      </c>
    </row>
    <row r="7" spans="1:7" x14ac:dyDescent="0.3">
      <c r="A7" s="30" t="s">
        <v>4</v>
      </c>
      <c r="B7" s="36">
        <v>249</v>
      </c>
      <c r="C7" s="36">
        <v>170</v>
      </c>
      <c r="D7" s="36">
        <v>150</v>
      </c>
      <c r="E7" s="36">
        <v>157</v>
      </c>
      <c r="F7" s="36">
        <v>120</v>
      </c>
      <c r="G7" s="36">
        <v>846</v>
      </c>
    </row>
    <row r="8" spans="1:7" x14ac:dyDescent="0.3">
      <c r="A8" s="30" t="s">
        <v>8</v>
      </c>
      <c r="B8" s="36">
        <v>128</v>
      </c>
      <c r="C8" s="36">
        <v>172</v>
      </c>
      <c r="D8" s="36">
        <v>79</v>
      </c>
      <c r="E8" s="36">
        <v>134</v>
      </c>
      <c r="F8" s="36">
        <v>145</v>
      </c>
      <c r="G8" s="36">
        <v>658</v>
      </c>
    </row>
    <row r="9" spans="1:7" x14ac:dyDescent="0.3">
      <c r="A9" s="30" t="s">
        <v>7</v>
      </c>
      <c r="B9" s="36">
        <v>101</v>
      </c>
      <c r="C9" s="36">
        <v>110</v>
      </c>
      <c r="D9" s="36">
        <v>155</v>
      </c>
      <c r="E9" s="36">
        <v>150</v>
      </c>
      <c r="F9" s="36">
        <v>69</v>
      </c>
      <c r="G9" s="36">
        <v>585</v>
      </c>
    </row>
    <row r="10" spans="1:7" x14ac:dyDescent="0.3">
      <c r="A10" s="30" t="s">
        <v>13</v>
      </c>
      <c r="B10" s="36">
        <v>117</v>
      </c>
      <c r="C10" s="36">
        <v>183</v>
      </c>
      <c r="D10" s="36">
        <v>151</v>
      </c>
      <c r="E10" s="36">
        <v>209</v>
      </c>
      <c r="F10" s="36">
        <v>118</v>
      </c>
      <c r="G10" s="36">
        <v>778</v>
      </c>
    </row>
    <row r="11" spans="1:7" x14ac:dyDescent="0.3">
      <c r="A11" s="30" t="s">
        <v>5</v>
      </c>
      <c r="B11" s="36">
        <v>121</v>
      </c>
      <c r="C11" s="36">
        <v>91</v>
      </c>
      <c r="D11" s="36">
        <v>138</v>
      </c>
      <c r="E11" s="36">
        <v>154</v>
      </c>
      <c r="F11" s="36">
        <v>104</v>
      </c>
      <c r="G11" s="36">
        <v>608</v>
      </c>
    </row>
    <row r="12" spans="1:7" x14ac:dyDescent="0.3">
      <c r="A12" s="30" t="s">
        <v>3</v>
      </c>
      <c r="B12" s="36">
        <v>199</v>
      </c>
      <c r="C12" s="36">
        <v>217</v>
      </c>
      <c r="D12" s="36">
        <v>214</v>
      </c>
      <c r="E12" s="36">
        <v>239</v>
      </c>
      <c r="F12" s="36">
        <v>199</v>
      </c>
      <c r="G12" s="36">
        <v>1068</v>
      </c>
    </row>
    <row r="13" spans="1:7" x14ac:dyDescent="0.3">
      <c r="A13" s="30" t="s">
        <v>6</v>
      </c>
      <c r="B13" s="36">
        <v>172</v>
      </c>
      <c r="C13" s="36">
        <v>62</v>
      </c>
      <c r="D13" s="36">
        <v>75</v>
      </c>
      <c r="E13" s="36">
        <v>77</v>
      </c>
      <c r="F13" s="36">
        <v>130</v>
      </c>
      <c r="G13" s="36">
        <v>516</v>
      </c>
    </row>
    <row r="14" spans="1:7" x14ac:dyDescent="0.3">
      <c r="A14" s="30" t="s">
        <v>11</v>
      </c>
      <c r="B14" s="36">
        <v>105</v>
      </c>
      <c r="C14" s="36">
        <v>169</v>
      </c>
      <c r="D14" s="36">
        <v>80</v>
      </c>
      <c r="E14" s="36">
        <v>154</v>
      </c>
      <c r="F14" s="36">
        <v>124</v>
      </c>
      <c r="G14" s="36">
        <v>632</v>
      </c>
    </row>
    <row r="15" spans="1:7" x14ac:dyDescent="0.3">
      <c r="A15" s="30" t="s">
        <v>1</v>
      </c>
      <c r="B15" s="36">
        <v>1679</v>
      </c>
      <c r="C15" s="36">
        <v>1815</v>
      </c>
      <c r="D15" s="36">
        <v>1403</v>
      </c>
      <c r="E15" s="36">
        <v>1612</v>
      </c>
      <c r="F15" s="36">
        <v>1488</v>
      </c>
      <c r="G15" s="36">
        <v>7997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انشاء</vt:lpstr>
      <vt:lpstr>التعديل</vt:lpstr>
      <vt:lpstr>تجميعات بالتاريخ</vt:lpstr>
      <vt:lpstr>تجميعات أخرى</vt:lpstr>
      <vt:lpstr>مقسم</vt:lpstr>
      <vt:lpstr>PivotChart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Brahim</dc:creator>
  <cp:lastModifiedBy>Brahim</cp:lastModifiedBy>
  <dcterms:created xsi:type="dcterms:W3CDTF">2021-12-19T20:20:02Z</dcterms:created>
  <dcterms:modified xsi:type="dcterms:W3CDTF">2022-12-25T23:36:09Z</dcterms:modified>
</cp:coreProperties>
</file>